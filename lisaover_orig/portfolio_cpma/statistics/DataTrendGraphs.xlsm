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harts/style1.xml" ContentType="application/vnd.ms-office.chartstyle+xml"/>
  <Override PartName="/xl/charts/colors1.xml" ContentType="application/vnd.ms-office.chartcolorstyle+xml"/>
  <Override PartName="/xl/charts/style2.xml" ContentType="application/vnd.ms-office.chartstyle+xml"/>
  <Override PartName="/xl/charts/colors2.xml" ContentType="application/vnd.ms-office.chartcolorstyle+xml"/>
  <Override PartName="/xl/charts/style3.xml" ContentType="application/vnd.ms-office.chartstyle+xml"/>
  <Override PartName="/xl/charts/colors3.xml" ContentType="application/vnd.ms-office.chartcolorstyle+xml"/>
  <Override PartName="/xl/charts/style4.xml" ContentType="application/vnd.ms-office.chartstyle+xml"/>
  <Override PartName="/xl/charts/colors4.xml" ContentType="application/vnd.ms-office.chartcolorstyle+xml"/>
  <Override PartName="/xl/charts/style5.xml" ContentType="application/vnd.ms-office.chartstyle+xml"/>
  <Override PartName="/xl/charts/colors5.xml" ContentType="application/vnd.ms-office.chartcolorstyle+xml"/>
  <Override PartName="/xl/charts/style6.xml" ContentType="application/vnd.ms-office.chartstyle+xml"/>
  <Override PartName="/xl/charts/colors6.xml" ContentType="application/vnd.ms-office.chartcolorstyle+xml"/>
  <Override PartName="/xl/charts/style7.xml" ContentType="application/vnd.ms-office.chartstyle+xml"/>
  <Override PartName="/xl/charts/colors7.xml" ContentType="application/vnd.ms-office.chartcolorstyle+xml"/>
  <Override PartName="/xl/charts/style8.xml" ContentType="application/vnd.ms-office.chartstyle+xml"/>
  <Override PartName="/xl/charts/colors8.xml" ContentType="application/vnd.ms-office.chartcolorstyle+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6405" codeName="{7A2D7E96-6E34-419A-AE5F-296B3A7E7977}"/>
  <workbookPr codeName="ThisWorkbook" checkCompatibility="1" autoCompressPictures="0"/>
  <bookViews>
    <workbookView xWindow="0" yWindow="0" windowWidth="25520" windowHeight="14500"/>
  </bookViews>
  <sheets>
    <sheet name="Off Premise Volume" sheetId="59" r:id="rId1"/>
    <sheet name="Off Premise Percent of Total" sheetId="52" r:id="rId2"/>
    <sheet name="Convenience Volume" sheetId="60" r:id="rId3"/>
    <sheet name="Convenience Percent of Total" sheetId="54" r:id="rId4"/>
    <sheet name="Grocery &amp; Drug Volume" sheetId="61" r:id="rId5"/>
    <sheet name="Grocery &amp; Drug Percent of Total" sheetId="55" r:id="rId6"/>
    <sheet name="Mass Merch Volume" sheetId="62" r:id="rId7"/>
    <sheet name="Mass Merch Percent of Total" sheetId="49" r:id="rId8"/>
    <sheet name="Variable and Trend Explanations" sheetId="34" r:id="rId9"/>
    <sheet name="Percents of Total for Labels" sheetId="63" r:id="rId10"/>
    <sheet name="Off Premise Data" sheetId="35" r:id="rId11"/>
    <sheet name="Convenience Data" sheetId="36" r:id="rId12"/>
    <sheet name="Grocery &amp; Drug Data" sheetId="37" r:id="rId13"/>
    <sheet name="Mass Merch Data" sheetId="38" r:id="rId14"/>
  </sheets>
  <definedNames>
    <definedName name="_AMO_SingleObject_168256205_ROM_F0.SEC2.Print_1.SEC1.BDY.Data_Set_WORK_WORKING_GROC_TOTAL" hidden="1">#REF!</definedName>
    <definedName name="_AMO_SingleObject_168256205_ROM_F0.SEC2.Print_1.SEC1.HDR.TXT1" hidden="1">#REF!</definedName>
    <definedName name="_AMO_SingleObject_348118951_ROM_F0.SEC2.Print_1.SEC1.BDY.Data_Set_WORK_WORKING_OFFP_TOTAL" hidden="1">#REF!</definedName>
    <definedName name="_AMO_SingleObject_348118951_ROM_F0.SEC2.Print_1.SEC1.HDR.TXT1" hidden="1">#REF!</definedName>
    <definedName name="_AMO_SingleObject_531212198_ROM_F0.SEC2.Print_1.SEC1.BDY.Data_Set_WORK_WORKING_CONV_TOTAL" hidden="1">#REF!</definedName>
    <definedName name="_AMO_SingleObject_531212198_ROM_F0.SEC2.Print_1.SEC1.HDR.TXT1" hidden="1">#REF!</definedName>
    <definedName name="_AMO_SingleObject_997907462_ROM_F0.SEC2.Print_1.SEC1.BDY.Data_Set_WORK_WORKING_MASS_TOTAL" hidden="1">#REF!</definedName>
    <definedName name="_AMO_SingleObject_997907462_ROM_F0.SEC2.Print_1.SEC1.HDR.TXT1" hidden="1">#REF!</definedName>
    <definedName name="_xlnm.Print_Area" localSheetId="9">'Percents of Total for Labels'!$A$1:$G$9</definedName>
  </definedNames>
  <calcPr calcId="140001" calcMode="manual" concurrentCalc="0"/>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38" l="1"/>
  <c r="T111" i="38"/>
  <c r="E111" i="38"/>
  <c r="S111" i="38"/>
  <c r="F4" i="36"/>
  <c r="T6" i="35"/>
  <c r="W6" i="35"/>
  <c r="T7" i="35"/>
  <c r="W7" i="35"/>
  <c r="T8" i="35"/>
  <c r="W8" i="35"/>
  <c r="T9" i="35"/>
  <c r="W9" i="35"/>
  <c r="T10" i="35"/>
  <c r="W10" i="35"/>
  <c r="T11" i="35"/>
  <c r="W11" i="35"/>
  <c r="T12" i="35"/>
  <c r="W12" i="35"/>
  <c r="T13" i="35"/>
  <c r="W13" i="35"/>
  <c r="T14" i="35"/>
  <c r="W14" i="35"/>
  <c r="T15" i="35"/>
  <c r="W15" i="35"/>
  <c r="T16" i="35"/>
  <c r="W16" i="35"/>
  <c r="T17" i="35"/>
  <c r="W17" i="35"/>
  <c r="T18" i="35"/>
  <c r="W18" i="35"/>
  <c r="T19" i="35"/>
  <c r="W19" i="35"/>
  <c r="T20" i="35"/>
  <c r="W20" i="35"/>
  <c r="T21" i="35"/>
  <c r="W21" i="35"/>
  <c r="T22" i="35"/>
  <c r="W22" i="35"/>
  <c r="T23" i="35"/>
  <c r="W23" i="35"/>
  <c r="T24" i="35"/>
  <c r="W24" i="35"/>
  <c r="T25" i="35"/>
  <c r="W25" i="35"/>
  <c r="T26" i="35"/>
  <c r="W26" i="35"/>
  <c r="T27" i="35"/>
  <c r="W27" i="35"/>
  <c r="T28" i="35"/>
  <c r="W28" i="35"/>
  <c r="T29" i="35"/>
  <c r="W29" i="35"/>
  <c r="T30" i="35"/>
  <c r="W30" i="35"/>
  <c r="T31" i="35"/>
  <c r="W31" i="35"/>
  <c r="T32" i="35"/>
  <c r="W32" i="35"/>
  <c r="T33" i="35"/>
  <c r="W33" i="35"/>
  <c r="T34" i="35"/>
  <c r="W34" i="35"/>
  <c r="T35" i="35"/>
  <c r="W35" i="35"/>
  <c r="T36" i="35"/>
  <c r="W36" i="35"/>
  <c r="T37" i="35"/>
  <c r="W37" i="35"/>
  <c r="T38" i="35"/>
  <c r="W38" i="35"/>
  <c r="T39" i="35"/>
  <c r="W39" i="35"/>
  <c r="T40" i="35"/>
  <c r="W40" i="35"/>
  <c r="T41" i="35"/>
  <c r="W41" i="35"/>
  <c r="T42" i="35"/>
  <c r="W42" i="35"/>
  <c r="T43" i="35"/>
  <c r="W43" i="35"/>
  <c r="T44" i="35"/>
  <c r="W44" i="35"/>
  <c r="T45" i="35"/>
  <c r="W45" i="35"/>
  <c r="T46" i="35"/>
  <c r="W46" i="35"/>
  <c r="T47" i="35"/>
  <c r="W47" i="35"/>
  <c r="T48" i="35"/>
  <c r="W48" i="35"/>
  <c r="T49" i="35"/>
  <c r="W49" i="35"/>
  <c r="T50" i="35"/>
  <c r="W50" i="35"/>
  <c r="T51" i="35"/>
  <c r="W51" i="35"/>
  <c r="T52" i="35"/>
  <c r="W52" i="35"/>
  <c r="T53" i="35"/>
  <c r="W53" i="35"/>
  <c r="T54" i="35"/>
  <c r="W54" i="35"/>
  <c r="T55" i="35"/>
  <c r="W55" i="35"/>
  <c r="T56" i="35"/>
  <c r="W56" i="35"/>
  <c r="T57" i="35"/>
  <c r="W57" i="35"/>
  <c r="T58" i="35"/>
  <c r="W58" i="35"/>
  <c r="T59" i="35"/>
  <c r="W59" i="35"/>
  <c r="T60" i="35"/>
  <c r="W60" i="35"/>
  <c r="T61" i="35"/>
  <c r="W61" i="35"/>
  <c r="T62" i="35"/>
  <c r="W62" i="35"/>
  <c r="T63" i="35"/>
  <c r="W63" i="35"/>
  <c r="T64" i="35"/>
  <c r="W64" i="35"/>
  <c r="T65" i="35"/>
  <c r="W65" i="35"/>
  <c r="T66" i="35"/>
  <c r="W66" i="35"/>
  <c r="T67" i="35"/>
  <c r="W67" i="35"/>
  <c r="T68" i="35"/>
  <c r="W68" i="35"/>
  <c r="T69" i="35"/>
  <c r="W69" i="35"/>
  <c r="T70" i="35"/>
  <c r="W70" i="35"/>
  <c r="T71" i="35"/>
  <c r="W71" i="35"/>
  <c r="T72" i="35"/>
  <c r="W72" i="35"/>
  <c r="T73" i="35"/>
  <c r="W73" i="35"/>
  <c r="T74" i="35"/>
  <c r="W74" i="35"/>
  <c r="T75" i="35"/>
  <c r="W75" i="35"/>
  <c r="T76" i="35"/>
  <c r="W76" i="35"/>
  <c r="T77" i="35"/>
  <c r="W77" i="35"/>
  <c r="T78" i="35"/>
  <c r="W78" i="35"/>
  <c r="T79" i="35"/>
  <c r="W79" i="35"/>
  <c r="T80" i="35"/>
  <c r="W80" i="35"/>
  <c r="T81" i="35"/>
  <c r="W81" i="35"/>
  <c r="T82" i="35"/>
  <c r="W82" i="35"/>
  <c r="T83" i="35"/>
  <c r="W83" i="35"/>
  <c r="T84" i="35"/>
  <c r="W84" i="35"/>
  <c r="T85" i="35"/>
  <c r="W85" i="35"/>
  <c r="T86" i="35"/>
  <c r="W86" i="35"/>
  <c r="T87" i="35"/>
  <c r="W87" i="35"/>
  <c r="T88" i="35"/>
  <c r="W88" i="35"/>
  <c r="T89" i="35"/>
  <c r="W89" i="35"/>
  <c r="T90" i="35"/>
  <c r="W90" i="35"/>
  <c r="T91" i="35"/>
  <c r="W91" i="35"/>
  <c r="T92" i="35"/>
  <c r="W92" i="35"/>
  <c r="T93" i="35"/>
  <c r="W93" i="35"/>
  <c r="T94" i="35"/>
  <c r="W94" i="35"/>
  <c r="T95" i="35"/>
  <c r="W95" i="35"/>
  <c r="T96" i="35"/>
  <c r="W96" i="35"/>
  <c r="T97" i="35"/>
  <c r="W97" i="35"/>
  <c r="T98" i="35"/>
  <c r="W98" i="35"/>
  <c r="T99" i="35"/>
  <c r="W99" i="35"/>
  <c r="T100" i="35"/>
  <c r="W100" i="35"/>
  <c r="T101" i="35"/>
  <c r="W101" i="35"/>
  <c r="T104" i="35"/>
  <c r="W104" i="35"/>
  <c r="T105" i="35"/>
  <c r="W105" i="35"/>
  <c r="T106" i="35"/>
  <c r="W106" i="35"/>
  <c r="T107" i="35"/>
  <c r="W107" i="35"/>
  <c r="T108" i="35"/>
  <c r="W108" i="35"/>
  <c r="T109" i="35"/>
  <c r="W109" i="35"/>
  <c r="T110" i="35"/>
  <c r="W110" i="35"/>
  <c r="T5" i="35"/>
  <c r="W5" i="35"/>
  <c r="I4" i="63"/>
  <c r="I5" i="63"/>
  <c r="I6" i="63"/>
  <c r="I7" i="63"/>
  <c r="I8" i="63"/>
  <c r="I9" i="63"/>
  <c r="I3" i="63"/>
  <c r="I2" i="63"/>
  <c r="E78" i="38"/>
  <c r="F78" i="38"/>
  <c r="H78" i="38"/>
  <c r="I78" i="38"/>
  <c r="J78" i="38"/>
  <c r="K78" i="38"/>
  <c r="L78" i="38"/>
  <c r="N78" i="38"/>
  <c r="U78" i="38"/>
  <c r="E79" i="38"/>
  <c r="F79" i="38"/>
  <c r="H79" i="38"/>
  <c r="I79" i="38"/>
  <c r="J79" i="38"/>
  <c r="K79" i="38"/>
  <c r="L79" i="38"/>
  <c r="N79" i="38"/>
  <c r="U79" i="38"/>
  <c r="E80" i="38"/>
  <c r="F80" i="38"/>
  <c r="H80" i="38"/>
  <c r="I80" i="38"/>
  <c r="J80" i="38"/>
  <c r="K80" i="38"/>
  <c r="L80" i="38"/>
  <c r="N80" i="38"/>
  <c r="U80" i="38"/>
  <c r="E81" i="38"/>
  <c r="F81" i="38"/>
  <c r="H81" i="38"/>
  <c r="I81" i="38"/>
  <c r="J81" i="38"/>
  <c r="K81" i="38"/>
  <c r="L81" i="38"/>
  <c r="N81" i="38"/>
  <c r="U81" i="38"/>
  <c r="E82" i="38"/>
  <c r="F82" i="38"/>
  <c r="H82" i="38"/>
  <c r="I82" i="38"/>
  <c r="J82" i="38"/>
  <c r="K82" i="38"/>
  <c r="L82" i="38"/>
  <c r="N82" i="38"/>
  <c r="U82" i="38"/>
  <c r="E83" i="38"/>
  <c r="F83" i="38"/>
  <c r="H83" i="38"/>
  <c r="I83" i="38"/>
  <c r="J83" i="38"/>
  <c r="K83" i="38"/>
  <c r="L83" i="38"/>
  <c r="N83" i="38"/>
  <c r="U83" i="38"/>
  <c r="E84" i="38"/>
  <c r="F84" i="38"/>
  <c r="H84" i="38"/>
  <c r="I84" i="38"/>
  <c r="J84" i="38"/>
  <c r="K84" i="38"/>
  <c r="L84" i="38"/>
  <c r="N84" i="38"/>
  <c r="U84" i="38"/>
  <c r="E85" i="38"/>
  <c r="F85" i="38"/>
  <c r="H85" i="38"/>
  <c r="I85" i="38"/>
  <c r="J85" i="38"/>
  <c r="K85" i="38"/>
  <c r="L85" i="38"/>
  <c r="N85" i="38"/>
  <c r="U85" i="38"/>
  <c r="E86" i="38"/>
  <c r="F86" i="38"/>
  <c r="H86" i="38"/>
  <c r="I86" i="38"/>
  <c r="J86" i="38"/>
  <c r="K86" i="38"/>
  <c r="L86" i="38"/>
  <c r="N86" i="38"/>
  <c r="U86" i="38"/>
  <c r="E87" i="38"/>
  <c r="F87" i="38"/>
  <c r="H87" i="38"/>
  <c r="I87" i="38"/>
  <c r="J87" i="38"/>
  <c r="K87" i="38"/>
  <c r="L87" i="38"/>
  <c r="N87" i="38"/>
  <c r="U87" i="38"/>
  <c r="E88" i="38"/>
  <c r="F88" i="38"/>
  <c r="H88" i="38"/>
  <c r="I88" i="38"/>
  <c r="J88" i="38"/>
  <c r="K88" i="38"/>
  <c r="L88" i="38"/>
  <c r="N88" i="38"/>
  <c r="U88" i="38"/>
  <c r="E89" i="38"/>
  <c r="F89" i="38"/>
  <c r="H89" i="38"/>
  <c r="I89" i="38"/>
  <c r="J89" i="38"/>
  <c r="K89" i="38"/>
  <c r="L89" i="38"/>
  <c r="N89" i="38"/>
  <c r="U89" i="38"/>
  <c r="E90" i="38"/>
  <c r="F90" i="38"/>
  <c r="H90" i="38"/>
  <c r="I90" i="38"/>
  <c r="J90" i="38"/>
  <c r="K90" i="38"/>
  <c r="L90" i="38"/>
  <c r="N90" i="38"/>
  <c r="U90" i="38"/>
  <c r="E91" i="38"/>
  <c r="F91" i="38"/>
  <c r="H91" i="38"/>
  <c r="I91" i="38"/>
  <c r="J91" i="38"/>
  <c r="K91" i="38"/>
  <c r="L91" i="38"/>
  <c r="N91" i="38"/>
  <c r="U91" i="38"/>
  <c r="E92" i="38"/>
  <c r="F92" i="38"/>
  <c r="H92" i="38"/>
  <c r="I92" i="38"/>
  <c r="J92" i="38"/>
  <c r="K92" i="38"/>
  <c r="L92" i="38"/>
  <c r="N92" i="38"/>
  <c r="U92" i="38"/>
  <c r="E93" i="38"/>
  <c r="F93" i="38"/>
  <c r="H93" i="38"/>
  <c r="I93" i="38"/>
  <c r="J93" i="38"/>
  <c r="K93" i="38"/>
  <c r="L93" i="38"/>
  <c r="N93" i="38"/>
  <c r="U93" i="38"/>
  <c r="E94" i="38"/>
  <c r="F94" i="38"/>
  <c r="H94" i="38"/>
  <c r="I94" i="38"/>
  <c r="J94" i="38"/>
  <c r="K94" i="38"/>
  <c r="L94" i="38"/>
  <c r="N94" i="38"/>
  <c r="U94" i="38"/>
  <c r="E95" i="38"/>
  <c r="F95" i="38"/>
  <c r="H95" i="38"/>
  <c r="I95" i="38"/>
  <c r="J95" i="38"/>
  <c r="K95" i="38"/>
  <c r="L95" i="38"/>
  <c r="N95" i="38"/>
  <c r="U95" i="38"/>
  <c r="E96" i="38"/>
  <c r="F96" i="38"/>
  <c r="H96" i="38"/>
  <c r="I96" i="38"/>
  <c r="J96" i="38"/>
  <c r="K96" i="38"/>
  <c r="L96" i="38"/>
  <c r="N96" i="38"/>
  <c r="U96" i="38"/>
  <c r="E97" i="38"/>
  <c r="F97" i="38"/>
  <c r="H97" i="38"/>
  <c r="I97" i="38"/>
  <c r="J97" i="38"/>
  <c r="K97" i="38"/>
  <c r="L97" i="38"/>
  <c r="N97" i="38"/>
  <c r="U97" i="38"/>
  <c r="E98" i="38"/>
  <c r="F98" i="38"/>
  <c r="H98" i="38"/>
  <c r="I98" i="38"/>
  <c r="J98" i="38"/>
  <c r="K98" i="38"/>
  <c r="L98" i="38"/>
  <c r="N98" i="38"/>
  <c r="U98" i="38"/>
  <c r="E99" i="38"/>
  <c r="F99" i="38"/>
  <c r="H99" i="38"/>
  <c r="I99" i="38"/>
  <c r="J99" i="38"/>
  <c r="K99" i="38"/>
  <c r="L99" i="38"/>
  <c r="N99" i="38"/>
  <c r="U99" i="38"/>
  <c r="E100" i="38"/>
  <c r="F100" i="38"/>
  <c r="H100" i="38"/>
  <c r="I100" i="38"/>
  <c r="J100" i="38"/>
  <c r="K100" i="38"/>
  <c r="L100" i="38"/>
  <c r="N100" i="38"/>
  <c r="U100" i="38"/>
  <c r="E101" i="38"/>
  <c r="F101" i="38"/>
  <c r="H101" i="38"/>
  <c r="I101" i="38"/>
  <c r="J101" i="38"/>
  <c r="K101" i="38"/>
  <c r="L101" i="38"/>
  <c r="N101" i="38"/>
  <c r="U101" i="38"/>
  <c r="E102" i="38"/>
  <c r="F102" i="38"/>
  <c r="H102" i="38"/>
  <c r="I102" i="38"/>
  <c r="J102" i="38"/>
  <c r="K102" i="38"/>
  <c r="L102" i="38"/>
  <c r="N102" i="38"/>
  <c r="U102" i="38"/>
  <c r="E103" i="38"/>
  <c r="F103" i="38"/>
  <c r="H103" i="38"/>
  <c r="I103" i="38"/>
  <c r="J103" i="38"/>
  <c r="K103" i="38"/>
  <c r="L103" i="38"/>
  <c r="N103" i="38"/>
  <c r="U103" i="38"/>
  <c r="U115" i="38"/>
  <c r="E115" i="38"/>
  <c r="V115" i="38"/>
  <c r="N115" i="38"/>
  <c r="O115" i="38"/>
  <c r="L115" i="38"/>
  <c r="M115" i="38"/>
  <c r="F115" i="38"/>
  <c r="G115" i="38"/>
  <c r="E7" i="38"/>
  <c r="F7" i="38"/>
  <c r="H7" i="38"/>
  <c r="I7" i="38"/>
  <c r="J7" i="38"/>
  <c r="K7" i="38"/>
  <c r="L7" i="38"/>
  <c r="N7" i="38"/>
  <c r="U7" i="38"/>
  <c r="E8" i="38"/>
  <c r="F8" i="38"/>
  <c r="H8" i="38"/>
  <c r="I8" i="38"/>
  <c r="J8" i="38"/>
  <c r="K8" i="38"/>
  <c r="L8" i="38"/>
  <c r="N8" i="38"/>
  <c r="U8" i="38"/>
  <c r="E9" i="38"/>
  <c r="F9" i="38"/>
  <c r="H9" i="38"/>
  <c r="I9" i="38"/>
  <c r="J9" i="38"/>
  <c r="K9" i="38"/>
  <c r="L9" i="38"/>
  <c r="N9" i="38"/>
  <c r="U9" i="38"/>
  <c r="E10" i="38"/>
  <c r="F10" i="38"/>
  <c r="H10" i="38"/>
  <c r="I10" i="38"/>
  <c r="J10" i="38"/>
  <c r="K10" i="38"/>
  <c r="L10" i="38"/>
  <c r="N10" i="38"/>
  <c r="U10" i="38"/>
  <c r="E11" i="38"/>
  <c r="F11" i="38"/>
  <c r="H11" i="38"/>
  <c r="I11" i="38"/>
  <c r="J11" i="38"/>
  <c r="K11" i="38"/>
  <c r="L11" i="38"/>
  <c r="N11" i="38"/>
  <c r="U11" i="38"/>
  <c r="E12" i="38"/>
  <c r="F12" i="38"/>
  <c r="H12" i="38"/>
  <c r="I12" i="38"/>
  <c r="J12" i="38"/>
  <c r="K12" i="38"/>
  <c r="L12" i="38"/>
  <c r="N12" i="38"/>
  <c r="U12" i="38"/>
  <c r="E13" i="38"/>
  <c r="F13" i="38"/>
  <c r="H13" i="38"/>
  <c r="I13" i="38"/>
  <c r="J13" i="38"/>
  <c r="K13" i="38"/>
  <c r="L13" i="38"/>
  <c r="N13" i="38"/>
  <c r="U13" i="38"/>
  <c r="E14" i="38"/>
  <c r="F14" i="38"/>
  <c r="H14" i="38"/>
  <c r="I14" i="38"/>
  <c r="J14" i="38"/>
  <c r="K14" i="38"/>
  <c r="L14" i="38"/>
  <c r="N14" i="38"/>
  <c r="U14" i="38"/>
  <c r="E15" i="38"/>
  <c r="F15" i="38"/>
  <c r="H15" i="38"/>
  <c r="I15" i="38"/>
  <c r="J15" i="38"/>
  <c r="K15" i="38"/>
  <c r="L15" i="38"/>
  <c r="N15" i="38"/>
  <c r="U15" i="38"/>
  <c r="E16" i="38"/>
  <c r="F16" i="38"/>
  <c r="H16" i="38"/>
  <c r="I16" i="38"/>
  <c r="J16" i="38"/>
  <c r="K16" i="38"/>
  <c r="L16" i="38"/>
  <c r="N16" i="38"/>
  <c r="U16" i="38"/>
  <c r="E17" i="38"/>
  <c r="F17" i="38"/>
  <c r="H17" i="38"/>
  <c r="I17" i="38"/>
  <c r="J17" i="38"/>
  <c r="K17" i="38"/>
  <c r="L17" i="38"/>
  <c r="N17" i="38"/>
  <c r="U17" i="38"/>
  <c r="E18" i="38"/>
  <c r="F18" i="38"/>
  <c r="H18" i="38"/>
  <c r="I18" i="38"/>
  <c r="J18" i="38"/>
  <c r="K18" i="38"/>
  <c r="L18" i="38"/>
  <c r="N18" i="38"/>
  <c r="U18" i="38"/>
  <c r="E19" i="38"/>
  <c r="F19" i="38"/>
  <c r="H19" i="38"/>
  <c r="I19" i="38"/>
  <c r="J19" i="38"/>
  <c r="K19" i="38"/>
  <c r="L19" i="38"/>
  <c r="N19" i="38"/>
  <c r="U19" i="38"/>
  <c r="E20" i="38"/>
  <c r="F20" i="38"/>
  <c r="H20" i="38"/>
  <c r="I20" i="38"/>
  <c r="J20" i="38"/>
  <c r="K20" i="38"/>
  <c r="L20" i="38"/>
  <c r="N20" i="38"/>
  <c r="U20" i="38"/>
  <c r="E21" i="38"/>
  <c r="F21" i="38"/>
  <c r="H21" i="38"/>
  <c r="I21" i="38"/>
  <c r="J21" i="38"/>
  <c r="K21" i="38"/>
  <c r="L21" i="38"/>
  <c r="N21" i="38"/>
  <c r="U21" i="38"/>
  <c r="E22" i="38"/>
  <c r="F22" i="38"/>
  <c r="H22" i="38"/>
  <c r="I22" i="38"/>
  <c r="J22" i="38"/>
  <c r="K22" i="38"/>
  <c r="L22" i="38"/>
  <c r="N22" i="38"/>
  <c r="U22" i="38"/>
  <c r="E23" i="38"/>
  <c r="F23" i="38"/>
  <c r="H23" i="38"/>
  <c r="I23" i="38"/>
  <c r="J23" i="38"/>
  <c r="K23" i="38"/>
  <c r="L23" i="38"/>
  <c r="N23" i="38"/>
  <c r="U23" i="38"/>
  <c r="E24" i="38"/>
  <c r="F24" i="38"/>
  <c r="H24" i="38"/>
  <c r="I24" i="38"/>
  <c r="J24" i="38"/>
  <c r="K24" i="38"/>
  <c r="L24" i="38"/>
  <c r="N24" i="38"/>
  <c r="U24" i="38"/>
  <c r="E25" i="38"/>
  <c r="F25" i="38"/>
  <c r="H25" i="38"/>
  <c r="I25" i="38"/>
  <c r="J25" i="38"/>
  <c r="K25" i="38"/>
  <c r="L25" i="38"/>
  <c r="N25" i="38"/>
  <c r="U25" i="38"/>
  <c r="E26" i="38"/>
  <c r="F26" i="38"/>
  <c r="H26" i="38"/>
  <c r="I26" i="38"/>
  <c r="J26" i="38"/>
  <c r="K26" i="38"/>
  <c r="L26" i="38"/>
  <c r="N26" i="38"/>
  <c r="U26" i="38"/>
  <c r="E27" i="38"/>
  <c r="F27" i="38"/>
  <c r="H27" i="38"/>
  <c r="I27" i="38"/>
  <c r="J27" i="38"/>
  <c r="K27" i="38"/>
  <c r="L27" i="38"/>
  <c r="N27" i="38"/>
  <c r="U27" i="38"/>
  <c r="E28" i="38"/>
  <c r="F28" i="38"/>
  <c r="H28" i="38"/>
  <c r="I28" i="38"/>
  <c r="J28" i="38"/>
  <c r="K28" i="38"/>
  <c r="L28" i="38"/>
  <c r="N28" i="38"/>
  <c r="U28" i="38"/>
  <c r="E29" i="38"/>
  <c r="F29" i="38"/>
  <c r="H29" i="38"/>
  <c r="I29" i="38"/>
  <c r="J29" i="38"/>
  <c r="K29" i="38"/>
  <c r="L29" i="38"/>
  <c r="N29" i="38"/>
  <c r="U29" i="38"/>
  <c r="E30" i="38"/>
  <c r="F30" i="38"/>
  <c r="H30" i="38"/>
  <c r="I30" i="38"/>
  <c r="J30" i="38"/>
  <c r="K30" i="38"/>
  <c r="L30" i="38"/>
  <c r="N30" i="38"/>
  <c r="U30" i="38"/>
  <c r="E31" i="38"/>
  <c r="F31" i="38"/>
  <c r="H31" i="38"/>
  <c r="I31" i="38"/>
  <c r="J31" i="38"/>
  <c r="K31" i="38"/>
  <c r="L31" i="38"/>
  <c r="N31" i="38"/>
  <c r="U31" i="38"/>
  <c r="E32" i="38"/>
  <c r="F32" i="38"/>
  <c r="H32" i="38"/>
  <c r="I32" i="38"/>
  <c r="J32" i="38"/>
  <c r="K32" i="38"/>
  <c r="L32" i="38"/>
  <c r="N32" i="38"/>
  <c r="U32" i="38"/>
  <c r="E33" i="38"/>
  <c r="F33" i="38"/>
  <c r="H33" i="38"/>
  <c r="I33" i="38"/>
  <c r="J33" i="38"/>
  <c r="K33" i="38"/>
  <c r="L33" i="38"/>
  <c r="N33" i="38"/>
  <c r="U33" i="38"/>
  <c r="E34" i="38"/>
  <c r="F34" i="38"/>
  <c r="H34" i="38"/>
  <c r="I34" i="38"/>
  <c r="J34" i="38"/>
  <c r="K34" i="38"/>
  <c r="L34" i="38"/>
  <c r="N34" i="38"/>
  <c r="U34" i="38"/>
  <c r="E35" i="38"/>
  <c r="F35" i="38"/>
  <c r="H35" i="38"/>
  <c r="I35" i="38"/>
  <c r="J35" i="38"/>
  <c r="K35" i="38"/>
  <c r="L35" i="38"/>
  <c r="N35" i="38"/>
  <c r="U35" i="38"/>
  <c r="E36" i="38"/>
  <c r="F36" i="38"/>
  <c r="H36" i="38"/>
  <c r="I36" i="38"/>
  <c r="J36" i="38"/>
  <c r="K36" i="38"/>
  <c r="L36" i="38"/>
  <c r="N36" i="38"/>
  <c r="U36" i="38"/>
  <c r="E37" i="38"/>
  <c r="F37" i="38"/>
  <c r="H37" i="38"/>
  <c r="I37" i="38"/>
  <c r="J37" i="38"/>
  <c r="K37" i="38"/>
  <c r="L37" i="38"/>
  <c r="N37" i="38"/>
  <c r="U37" i="38"/>
  <c r="E38" i="38"/>
  <c r="F38" i="38"/>
  <c r="H38" i="38"/>
  <c r="I38" i="38"/>
  <c r="J38" i="38"/>
  <c r="K38" i="38"/>
  <c r="L38" i="38"/>
  <c r="N38" i="38"/>
  <c r="U38" i="38"/>
  <c r="E39" i="38"/>
  <c r="F39" i="38"/>
  <c r="H39" i="38"/>
  <c r="I39" i="38"/>
  <c r="J39" i="38"/>
  <c r="K39" i="38"/>
  <c r="L39" i="38"/>
  <c r="N39" i="38"/>
  <c r="U39" i="38"/>
  <c r="E40" i="38"/>
  <c r="F40" i="38"/>
  <c r="H40" i="38"/>
  <c r="I40" i="38"/>
  <c r="J40" i="38"/>
  <c r="K40" i="38"/>
  <c r="L40" i="38"/>
  <c r="N40" i="38"/>
  <c r="U40" i="38"/>
  <c r="E41" i="38"/>
  <c r="F41" i="38"/>
  <c r="H41" i="38"/>
  <c r="I41" i="38"/>
  <c r="J41" i="38"/>
  <c r="K41" i="38"/>
  <c r="L41" i="38"/>
  <c r="N41" i="38"/>
  <c r="U41" i="38"/>
  <c r="E42" i="38"/>
  <c r="F42" i="38"/>
  <c r="H42" i="38"/>
  <c r="I42" i="38"/>
  <c r="J42" i="38"/>
  <c r="K42" i="38"/>
  <c r="L42" i="38"/>
  <c r="N42" i="38"/>
  <c r="U42" i="38"/>
  <c r="E43" i="38"/>
  <c r="F43" i="38"/>
  <c r="H43" i="38"/>
  <c r="I43" i="38"/>
  <c r="J43" i="38"/>
  <c r="K43" i="38"/>
  <c r="L43" i="38"/>
  <c r="N43" i="38"/>
  <c r="U43" i="38"/>
  <c r="E44" i="38"/>
  <c r="F44" i="38"/>
  <c r="H44" i="38"/>
  <c r="I44" i="38"/>
  <c r="J44" i="38"/>
  <c r="K44" i="38"/>
  <c r="L44" i="38"/>
  <c r="N44" i="38"/>
  <c r="U44" i="38"/>
  <c r="E45" i="38"/>
  <c r="F45" i="38"/>
  <c r="H45" i="38"/>
  <c r="I45" i="38"/>
  <c r="J45" i="38"/>
  <c r="K45" i="38"/>
  <c r="L45" i="38"/>
  <c r="N45" i="38"/>
  <c r="U45" i="38"/>
  <c r="E46" i="38"/>
  <c r="F46" i="38"/>
  <c r="H46" i="38"/>
  <c r="I46" i="38"/>
  <c r="J46" i="38"/>
  <c r="K46" i="38"/>
  <c r="L46" i="38"/>
  <c r="N46" i="38"/>
  <c r="U46" i="38"/>
  <c r="E47" i="38"/>
  <c r="F47" i="38"/>
  <c r="H47" i="38"/>
  <c r="I47" i="38"/>
  <c r="J47" i="38"/>
  <c r="K47" i="38"/>
  <c r="L47" i="38"/>
  <c r="N47" i="38"/>
  <c r="U47" i="38"/>
  <c r="E48" i="38"/>
  <c r="F48" i="38"/>
  <c r="H48" i="38"/>
  <c r="I48" i="38"/>
  <c r="J48" i="38"/>
  <c r="K48" i="38"/>
  <c r="L48" i="38"/>
  <c r="N48" i="38"/>
  <c r="U48" i="38"/>
  <c r="E49" i="38"/>
  <c r="F49" i="38"/>
  <c r="H49" i="38"/>
  <c r="I49" i="38"/>
  <c r="J49" i="38"/>
  <c r="K49" i="38"/>
  <c r="L49" i="38"/>
  <c r="N49" i="38"/>
  <c r="U49" i="38"/>
  <c r="E50" i="38"/>
  <c r="F50" i="38"/>
  <c r="H50" i="38"/>
  <c r="I50" i="38"/>
  <c r="J50" i="38"/>
  <c r="K50" i="38"/>
  <c r="L50" i="38"/>
  <c r="N50" i="38"/>
  <c r="U50" i="38"/>
  <c r="E51" i="38"/>
  <c r="F51" i="38"/>
  <c r="H51" i="38"/>
  <c r="I51" i="38"/>
  <c r="J51" i="38"/>
  <c r="K51" i="38"/>
  <c r="L51" i="38"/>
  <c r="N51" i="38"/>
  <c r="U51" i="38"/>
  <c r="E52" i="38"/>
  <c r="F52" i="38"/>
  <c r="H52" i="38"/>
  <c r="I52" i="38"/>
  <c r="J52" i="38"/>
  <c r="K52" i="38"/>
  <c r="L52" i="38"/>
  <c r="N52" i="38"/>
  <c r="U52" i="38"/>
  <c r="E53" i="38"/>
  <c r="F53" i="38"/>
  <c r="H53" i="38"/>
  <c r="I53" i="38"/>
  <c r="J53" i="38"/>
  <c r="K53" i="38"/>
  <c r="L53" i="38"/>
  <c r="N53" i="38"/>
  <c r="U53" i="38"/>
  <c r="E54" i="38"/>
  <c r="F54" i="38"/>
  <c r="H54" i="38"/>
  <c r="I54" i="38"/>
  <c r="J54" i="38"/>
  <c r="K54" i="38"/>
  <c r="L54" i="38"/>
  <c r="N54" i="38"/>
  <c r="U54" i="38"/>
  <c r="E55" i="38"/>
  <c r="F55" i="38"/>
  <c r="H55" i="38"/>
  <c r="I55" i="38"/>
  <c r="J55" i="38"/>
  <c r="K55" i="38"/>
  <c r="L55" i="38"/>
  <c r="N55" i="38"/>
  <c r="U55" i="38"/>
  <c r="E56" i="38"/>
  <c r="F56" i="38"/>
  <c r="H56" i="38"/>
  <c r="I56" i="38"/>
  <c r="J56" i="38"/>
  <c r="K56" i="38"/>
  <c r="L56" i="38"/>
  <c r="N56" i="38"/>
  <c r="U56" i="38"/>
  <c r="E57" i="38"/>
  <c r="F57" i="38"/>
  <c r="H57" i="38"/>
  <c r="I57" i="38"/>
  <c r="J57" i="38"/>
  <c r="K57" i="38"/>
  <c r="L57" i="38"/>
  <c r="N57" i="38"/>
  <c r="U57" i="38"/>
  <c r="E58" i="38"/>
  <c r="F58" i="38"/>
  <c r="H58" i="38"/>
  <c r="I58" i="38"/>
  <c r="J58" i="38"/>
  <c r="K58" i="38"/>
  <c r="L58" i="38"/>
  <c r="N58" i="38"/>
  <c r="U58" i="38"/>
  <c r="E59" i="38"/>
  <c r="F59" i="38"/>
  <c r="H59" i="38"/>
  <c r="I59" i="38"/>
  <c r="J59" i="38"/>
  <c r="K59" i="38"/>
  <c r="L59" i="38"/>
  <c r="N59" i="38"/>
  <c r="U59" i="38"/>
  <c r="E60" i="38"/>
  <c r="F60" i="38"/>
  <c r="H60" i="38"/>
  <c r="I60" i="38"/>
  <c r="J60" i="38"/>
  <c r="K60" i="38"/>
  <c r="L60" i="38"/>
  <c r="N60" i="38"/>
  <c r="U60" i="38"/>
  <c r="E61" i="38"/>
  <c r="F61" i="38"/>
  <c r="H61" i="38"/>
  <c r="I61" i="38"/>
  <c r="J61" i="38"/>
  <c r="K61" i="38"/>
  <c r="L61" i="38"/>
  <c r="N61" i="38"/>
  <c r="U61" i="38"/>
  <c r="E62" i="38"/>
  <c r="F62" i="38"/>
  <c r="H62" i="38"/>
  <c r="I62" i="38"/>
  <c r="J62" i="38"/>
  <c r="K62" i="38"/>
  <c r="L62" i="38"/>
  <c r="N62" i="38"/>
  <c r="U62" i="38"/>
  <c r="E63" i="38"/>
  <c r="F63" i="38"/>
  <c r="H63" i="38"/>
  <c r="I63" i="38"/>
  <c r="J63" i="38"/>
  <c r="K63" i="38"/>
  <c r="L63" i="38"/>
  <c r="N63" i="38"/>
  <c r="U63" i="38"/>
  <c r="E64" i="38"/>
  <c r="F64" i="38"/>
  <c r="H64" i="38"/>
  <c r="I64" i="38"/>
  <c r="J64" i="38"/>
  <c r="K64" i="38"/>
  <c r="L64" i="38"/>
  <c r="N64" i="38"/>
  <c r="U64" i="38"/>
  <c r="E65" i="38"/>
  <c r="F65" i="38"/>
  <c r="H65" i="38"/>
  <c r="I65" i="38"/>
  <c r="J65" i="38"/>
  <c r="K65" i="38"/>
  <c r="L65" i="38"/>
  <c r="N65" i="38"/>
  <c r="U65" i="38"/>
  <c r="E66" i="38"/>
  <c r="F66" i="38"/>
  <c r="H66" i="38"/>
  <c r="I66" i="38"/>
  <c r="J66" i="38"/>
  <c r="K66" i="38"/>
  <c r="L66" i="38"/>
  <c r="N66" i="38"/>
  <c r="U66" i="38"/>
  <c r="E67" i="38"/>
  <c r="F67" i="38"/>
  <c r="H67" i="38"/>
  <c r="I67" i="38"/>
  <c r="J67" i="38"/>
  <c r="K67" i="38"/>
  <c r="L67" i="38"/>
  <c r="N67" i="38"/>
  <c r="U67" i="38"/>
  <c r="E68" i="38"/>
  <c r="F68" i="38"/>
  <c r="H68" i="38"/>
  <c r="I68" i="38"/>
  <c r="J68" i="38"/>
  <c r="K68" i="38"/>
  <c r="L68" i="38"/>
  <c r="N68" i="38"/>
  <c r="U68" i="38"/>
  <c r="E69" i="38"/>
  <c r="F69" i="38"/>
  <c r="H69" i="38"/>
  <c r="I69" i="38"/>
  <c r="J69" i="38"/>
  <c r="K69" i="38"/>
  <c r="L69" i="38"/>
  <c r="N69" i="38"/>
  <c r="U69" i="38"/>
  <c r="E70" i="38"/>
  <c r="F70" i="38"/>
  <c r="H70" i="38"/>
  <c r="I70" i="38"/>
  <c r="J70" i="38"/>
  <c r="K70" i="38"/>
  <c r="L70" i="38"/>
  <c r="N70" i="38"/>
  <c r="U70" i="38"/>
  <c r="E71" i="38"/>
  <c r="F71" i="38"/>
  <c r="H71" i="38"/>
  <c r="I71" i="38"/>
  <c r="J71" i="38"/>
  <c r="K71" i="38"/>
  <c r="L71" i="38"/>
  <c r="N71" i="38"/>
  <c r="U71" i="38"/>
  <c r="E72" i="38"/>
  <c r="F72" i="38"/>
  <c r="H72" i="38"/>
  <c r="I72" i="38"/>
  <c r="J72" i="38"/>
  <c r="K72" i="38"/>
  <c r="L72" i="38"/>
  <c r="N72" i="38"/>
  <c r="U72" i="38"/>
  <c r="E73" i="38"/>
  <c r="F73" i="38"/>
  <c r="H73" i="38"/>
  <c r="I73" i="38"/>
  <c r="J73" i="38"/>
  <c r="K73" i="38"/>
  <c r="L73" i="38"/>
  <c r="N73" i="38"/>
  <c r="U73" i="38"/>
  <c r="E74" i="38"/>
  <c r="F74" i="38"/>
  <c r="H74" i="38"/>
  <c r="I74" i="38"/>
  <c r="J74" i="38"/>
  <c r="K74" i="38"/>
  <c r="L74" i="38"/>
  <c r="N74" i="38"/>
  <c r="U74" i="38"/>
  <c r="E75" i="38"/>
  <c r="F75" i="38"/>
  <c r="H75" i="38"/>
  <c r="I75" i="38"/>
  <c r="J75" i="38"/>
  <c r="K75" i="38"/>
  <c r="L75" i="38"/>
  <c r="N75" i="38"/>
  <c r="U75" i="38"/>
  <c r="E76" i="38"/>
  <c r="F76" i="38"/>
  <c r="H76" i="38"/>
  <c r="I76" i="38"/>
  <c r="J76" i="38"/>
  <c r="K76" i="38"/>
  <c r="L76" i="38"/>
  <c r="N76" i="38"/>
  <c r="U76" i="38"/>
  <c r="E77" i="38"/>
  <c r="F77" i="38"/>
  <c r="H77" i="38"/>
  <c r="I77" i="38"/>
  <c r="J77" i="38"/>
  <c r="K77" i="38"/>
  <c r="L77" i="38"/>
  <c r="N77" i="38"/>
  <c r="U77" i="38"/>
  <c r="U114" i="38"/>
  <c r="E114" i="38"/>
  <c r="V114" i="38"/>
  <c r="N114" i="38"/>
  <c r="O114" i="38"/>
  <c r="L114" i="38"/>
  <c r="M114" i="38"/>
  <c r="F114" i="38"/>
  <c r="G114" i="38"/>
  <c r="E76" i="35"/>
  <c r="F76" i="35"/>
  <c r="H76" i="35"/>
  <c r="I76" i="35"/>
  <c r="J76" i="35"/>
  <c r="K76" i="35"/>
  <c r="L76" i="35"/>
  <c r="N76" i="35"/>
  <c r="U76" i="35"/>
  <c r="E77" i="35"/>
  <c r="F77" i="35"/>
  <c r="H77" i="35"/>
  <c r="I77" i="35"/>
  <c r="J77" i="35"/>
  <c r="K77" i="35"/>
  <c r="L77" i="35"/>
  <c r="N77" i="35"/>
  <c r="U77" i="35"/>
  <c r="E78" i="35"/>
  <c r="F78" i="35"/>
  <c r="H78" i="35"/>
  <c r="I78" i="35"/>
  <c r="J78" i="35"/>
  <c r="K78" i="35"/>
  <c r="L78" i="35"/>
  <c r="N78" i="35"/>
  <c r="U78" i="35"/>
  <c r="E79" i="35"/>
  <c r="F79" i="35"/>
  <c r="H79" i="35"/>
  <c r="I79" i="35"/>
  <c r="J79" i="35"/>
  <c r="K79" i="35"/>
  <c r="L79" i="35"/>
  <c r="N79" i="35"/>
  <c r="U79" i="35"/>
  <c r="E80" i="35"/>
  <c r="F80" i="35"/>
  <c r="H80" i="35"/>
  <c r="I80" i="35"/>
  <c r="J80" i="35"/>
  <c r="K80" i="35"/>
  <c r="L80" i="35"/>
  <c r="N80" i="35"/>
  <c r="U80" i="35"/>
  <c r="E81" i="35"/>
  <c r="F81" i="35"/>
  <c r="H81" i="35"/>
  <c r="I81" i="35"/>
  <c r="J81" i="35"/>
  <c r="K81" i="35"/>
  <c r="L81" i="35"/>
  <c r="N81" i="35"/>
  <c r="U81" i="35"/>
  <c r="E82" i="35"/>
  <c r="F82" i="35"/>
  <c r="H82" i="35"/>
  <c r="I82" i="35"/>
  <c r="J82" i="35"/>
  <c r="K82" i="35"/>
  <c r="L82" i="35"/>
  <c r="N82" i="35"/>
  <c r="U82" i="35"/>
  <c r="E83" i="35"/>
  <c r="F83" i="35"/>
  <c r="H83" i="35"/>
  <c r="I83" i="35"/>
  <c r="J83" i="35"/>
  <c r="K83" i="35"/>
  <c r="L83" i="35"/>
  <c r="N83" i="35"/>
  <c r="U83" i="35"/>
  <c r="E84" i="35"/>
  <c r="F84" i="35"/>
  <c r="H84" i="35"/>
  <c r="I84" i="35"/>
  <c r="J84" i="35"/>
  <c r="K84" i="35"/>
  <c r="L84" i="35"/>
  <c r="N84" i="35"/>
  <c r="U84" i="35"/>
  <c r="E85" i="35"/>
  <c r="F85" i="35"/>
  <c r="H85" i="35"/>
  <c r="I85" i="35"/>
  <c r="J85" i="35"/>
  <c r="K85" i="35"/>
  <c r="L85" i="35"/>
  <c r="N85" i="35"/>
  <c r="U85" i="35"/>
  <c r="E86" i="35"/>
  <c r="F86" i="35"/>
  <c r="H86" i="35"/>
  <c r="I86" i="35"/>
  <c r="J86" i="35"/>
  <c r="K86" i="35"/>
  <c r="L86" i="35"/>
  <c r="N86" i="35"/>
  <c r="U86" i="35"/>
  <c r="E87" i="35"/>
  <c r="F87" i="35"/>
  <c r="H87" i="35"/>
  <c r="I87" i="35"/>
  <c r="J87" i="35"/>
  <c r="K87" i="35"/>
  <c r="L87" i="35"/>
  <c r="N87" i="35"/>
  <c r="U87" i="35"/>
  <c r="E88" i="35"/>
  <c r="F88" i="35"/>
  <c r="H88" i="35"/>
  <c r="I88" i="35"/>
  <c r="J88" i="35"/>
  <c r="K88" i="35"/>
  <c r="L88" i="35"/>
  <c r="N88" i="35"/>
  <c r="U88" i="35"/>
  <c r="E89" i="35"/>
  <c r="F89" i="35"/>
  <c r="H89" i="35"/>
  <c r="I89" i="35"/>
  <c r="J89" i="35"/>
  <c r="K89" i="35"/>
  <c r="L89" i="35"/>
  <c r="N89" i="35"/>
  <c r="U89" i="35"/>
  <c r="E90" i="35"/>
  <c r="F90" i="35"/>
  <c r="H90" i="35"/>
  <c r="I90" i="35"/>
  <c r="J90" i="35"/>
  <c r="K90" i="35"/>
  <c r="L90" i="35"/>
  <c r="N90" i="35"/>
  <c r="U90" i="35"/>
  <c r="E91" i="35"/>
  <c r="F91" i="35"/>
  <c r="H91" i="35"/>
  <c r="I91" i="35"/>
  <c r="J91" i="35"/>
  <c r="K91" i="35"/>
  <c r="L91" i="35"/>
  <c r="N91" i="35"/>
  <c r="U91" i="35"/>
  <c r="E92" i="35"/>
  <c r="F92" i="35"/>
  <c r="H92" i="35"/>
  <c r="I92" i="35"/>
  <c r="J92" i="35"/>
  <c r="K92" i="35"/>
  <c r="L92" i="35"/>
  <c r="N92" i="35"/>
  <c r="U92" i="35"/>
  <c r="E93" i="35"/>
  <c r="F93" i="35"/>
  <c r="H93" i="35"/>
  <c r="I93" i="35"/>
  <c r="J93" i="35"/>
  <c r="K93" i="35"/>
  <c r="L93" i="35"/>
  <c r="N93" i="35"/>
  <c r="U93" i="35"/>
  <c r="E94" i="35"/>
  <c r="F94" i="35"/>
  <c r="H94" i="35"/>
  <c r="I94" i="35"/>
  <c r="J94" i="35"/>
  <c r="K94" i="35"/>
  <c r="L94" i="35"/>
  <c r="N94" i="35"/>
  <c r="U94" i="35"/>
  <c r="E95" i="35"/>
  <c r="F95" i="35"/>
  <c r="H95" i="35"/>
  <c r="I95" i="35"/>
  <c r="J95" i="35"/>
  <c r="K95" i="35"/>
  <c r="L95" i="35"/>
  <c r="N95" i="35"/>
  <c r="U95" i="35"/>
  <c r="E96" i="35"/>
  <c r="F96" i="35"/>
  <c r="H96" i="35"/>
  <c r="I96" i="35"/>
  <c r="J96" i="35"/>
  <c r="K96" i="35"/>
  <c r="L96" i="35"/>
  <c r="N96" i="35"/>
  <c r="U96" i="35"/>
  <c r="E97" i="35"/>
  <c r="F97" i="35"/>
  <c r="H97" i="35"/>
  <c r="I97" i="35"/>
  <c r="J97" i="35"/>
  <c r="K97" i="35"/>
  <c r="L97" i="35"/>
  <c r="N97" i="35"/>
  <c r="U97" i="35"/>
  <c r="E98" i="35"/>
  <c r="F98" i="35"/>
  <c r="H98" i="35"/>
  <c r="I98" i="35"/>
  <c r="J98" i="35"/>
  <c r="K98" i="35"/>
  <c r="L98" i="35"/>
  <c r="N98" i="35"/>
  <c r="U98" i="35"/>
  <c r="E99" i="35"/>
  <c r="F99" i="35"/>
  <c r="H99" i="35"/>
  <c r="I99" i="35"/>
  <c r="J99" i="35"/>
  <c r="K99" i="35"/>
  <c r="L99" i="35"/>
  <c r="N99" i="35"/>
  <c r="U99" i="35"/>
  <c r="E100" i="35"/>
  <c r="F100" i="35"/>
  <c r="H100" i="35"/>
  <c r="I100" i="35"/>
  <c r="J100" i="35"/>
  <c r="K100" i="35"/>
  <c r="L100" i="35"/>
  <c r="N100" i="35"/>
  <c r="U100" i="35"/>
  <c r="E101" i="35"/>
  <c r="F101" i="35"/>
  <c r="H101" i="35"/>
  <c r="I101" i="35"/>
  <c r="J101" i="35"/>
  <c r="K101" i="35"/>
  <c r="L101" i="35"/>
  <c r="N101" i="35"/>
  <c r="U101" i="35"/>
  <c r="U115" i="35"/>
  <c r="E115" i="35"/>
  <c r="V115" i="35"/>
  <c r="E5" i="35"/>
  <c r="F5" i="35"/>
  <c r="H5" i="35"/>
  <c r="I5" i="35"/>
  <c r="J5" i="35"/>
  <c r="K5" i="35"/>
  <c r="L5" i="35"/>
  <c r="N5" i="35"/>
  <c r="U5" i="35"/>
  <c r="E6" i="35"/>
  <c r="F6" i="35"/>
  <c r="H6" i="35"/>
  <c r="I6" i="35"/>
  <c r="J6" i="35"/>
  <c r="K6" i="35"/>
  <c r="L6" i="35"/>
  <c r="N6" i="35"/>
  <c r="U6" i="35"/>
  <c r="E7" i="35"/>
  <c r="F7" i="35"/>
  <c r="H7" i="35"/>
  <c r="I7" i="35"/>
  <c r="J7" i="35"/>
  <c r="K7" i="35"/>
  <c r="L7" i="35"/>
  <c r="N7" i="35"/>
  <c r="U7" i="35"/>
  <c r="E8" i="35"/>
  <c r="F8" i="35"/>
  <c r="H8" i="35"/>
  <c r="I8" i="35"/>
  <c r="J8" i="35"/>
  <c r="K8" i="35"/>
  <c r="L8" i="35"/>
  <c r="N8" i="35"/>
  <c r="U8" i="35"/>
  <c r="E9" i="35"/>
  <c r="F9" i="35"/>
  <c r="H9" i="35"/>
  <c r="I9" i="35"/>
  <c r="J9" i="35"/>
  <c r="K9" i="35"/>
  <c r="L9" i="35"/>
  <c r="N9" i="35"/>
  <c r="U9" i="35"/>
  <c r="E10" i="35"/>
  <c r="F10" i="35"/>
  <c r="H10" i="35"/>
  <c r="I10" i="35"/>
  <c r="J10" i="35"/>
  <c r="K10" i="35"/>
  <c r="L10" i="35"/>
  <c r="N10" i="35"/>
  <c r="U10" i="35"/>
  <c r="E11" i="35"/>
  <c r="F11" i="35"/>
  <c r="H11" i="35"/>
  <c r="I11" i="35"/>
  <c r="J11" i="35"/>
  <c r="K11" i="35"/>
  <c r="L11" i="35"/>
  <c r="N11" i="35"/>
  <c r="U11" i="35"/>
  <c r="E12" i="35"/>
  <c r="F12" i="35"/>
  <c r="H12" i="35"/>
  <c r="I12" i="35"/>
  <c r="J12" i="35"/>
  <c r="K12" i="35"/>
  <c r="L12" i="35"/>
  <c r="N12" i="35"/>
  <c r="U12" i="35"/>
  <c r="E13" i="35"/>
  <c r="F13" i="35"/>
  <c r="H13" i="35"/>
  <c r="I13" i="35"/>
  <c r="J13" i="35"/>
  <c r="K13" i="35"/>
  <c r="L13" i="35"/>
  <c r="N13" i="35"/>
  <c r="U13" i="35"/>
  <c r="E14" i="35"/>
  <c r="F14" i="35"/>
  <c r="H14" i="35"/>
  <c r="I14" i="35"/>
  <c r="J14" i="35"/>
  <c r="K14" i="35"/>
  <c r="L14" i="35"/>
  <c r="N14" i="35"/>
  <c r="U14" i="35"/>
  <c r="E15" i="35"/>
  <c r="F15" i="35"/>
  <c r="H15" i="35"/>
  <c r="I15" i="35"/>
  <c r="J15" i="35"/>
  <c r="K15" i="35"/>
  <c r="L15" i="35"/>
  <c r="N15" i="35"/>
  <c r="U15" i="35"/>
  <c r="E16" i="35"/>
  <c r="F16" i="35"/>
  <c r="H16" i="35"/>
  <c r="I16" i="35"/>
  <c r="J16" i="35"/>
  <c r="K16" i="35"/>
  <c r="L16" i="35"/>
  <c r="N16" i="35"/>
  <c r="U16" i="35"/>
  <c r="E17" i="35"/>
  <c r="F17" i="35"/>
  <c r="H17" i="35"/>
  <c r="I17" i="35"/>
  <c r="J17" i="35"/>
  <c r="K17" i="35"/>
  <c r="L17" i="35"/>
  <c r="N17" i="35"/>
  <c r="U17" i="35"/>
  <c r="E18" i="35"/>
  <c r="F18" i="35"/>
  <c r="H18" i="35"/>
  <c r="I18" i="35"/>
  <c r="J18" i="35"/>
  <c r="K18" i="35"/>
  <c r="L18" i="35"/>
  <c r="N18" i="35"/>
  <c r="U18" i="35"/>
  <c r="E19" i="35"/>
  <c r="F19" i="35"/>
  <c r="H19" i="35"/>
  <c r="I19" i="35"/>
  <c r="J19" i="35"/>
  <c r="K19" i="35"/>
  <c r="L19" i="35"/>
  <c r="N19" i="35"/>
  <c r="U19" i="35"/>
  <c r="E20" i="35"/>
  <c r="F20" i="35"/>
  <c r="H20" i="35"/>
  <c r="I20" i="35"/>
  <c r="J20" i="35"/>
  <c r="K20" i="35"/>
  <c r="L20" i="35"/>
  <c r="N20" i="35"/>
  <c r="U20" i="35"/>
  <c r="E21" i="35"/>
  <c r="F21" i="35"/>
  <c r="H21" i="35"/>
  <c r="I21" i="35"/>
  <c r="J21" i="35"/>
  <c r="K21" i="35"/>
  <c r="L21" i="35"/>
  <c r="N21" i="35"/>
  <c r="U21" i="35"/>
  <c r="E22" i="35"/>
  <c r="F22" i="35"/>
  <c r="H22" i="35"/>
  <c r="I22" i="35"/>
  <c r="J22" i="35"/>
  <c r="K22" i="35"/>
  <c r="L22" i="35"/>
  <c r="N22" i="35"/>
  <c r="U22" i="35"/>
  <c r="E23" i="35"/>
  <c r="F23" i="35"/>
  <c r="H23" i="35"/>
  <c r="I23" i="35"/>
  <c r="J23" i="35"/>
  <c r="K23" i="35"/>
  <c r="L23" i="35"/>
  <c r="N23" i="35"/>
  <c r="U23" i="35"/>
  <c r="E24" i="35"/>
  <c r="F24" i="35"/>
  <c r="H24" i="35"/>
  <c r="I24" i="35"/>
  <c r="J24" i="35"/>
  <c r="K24" i="35"/>
  <c r="L24" i="35"/>
  <c r="N24" i="35"/>
  <c r="U24" i="35"/>
  <c r="E25" i="35"/>
  <c r="F25" i="35"/>
  <c r="H25" i="35"/>
  <c r="I25" i="35"/>
  <c r="J25" i="35"/>
  <c r="K25" i="35"/>
  <c r="L25" i="35"/>
  <c r="N25" i="35"/>
  <c r="U25" i="35"/>
  <c r="E26" i="35"/>
  <c r="F26" i="35"/>
  <c r="H26" i="35"/>
  <c r="I26" i="35"/>
  <c r="J26" i="35"/>
  <c r="K26" i="35"/>
  <c r="L26" i="35"/>
  <c r="N26" i="35"/>
  <c r="U26" i="35"/>
  <c r="E27" i="35"/>
  <c r="F27" i="35"/>
  <c r="H27" i="35"/>
  <c r="I27" i="35"/>
  <c r="J27" i="35"/>
  <c r="K27" i="35"/>
  <c r="L27" i="35"/>
  <c r="N27" i="35"/>
  <c r="U27" i="35"/>
  <c r="E28" i="35"/>
  <c r="F28" i="35"/>
  <c r="H28" i="35"/>
  <c r="I28" i="35"/>
  <c r="J28" i="35"/>
  <c r="K28" i="35"/>
  <c r="L28" i="35"/>
  <c r="N28" i="35"/>
  <c r="U28" i="35"/>
  <c r="E29" i="35"/>
  <c r="F29" i="35"/>
  <c r="H29" i="35"/>
  <c r="I29" i="35"/>
  <c r="J29" i="35"/>
  <c r="K29" i="35"/>
  <c r="L29" i="35"/>
  <c r="N29" i="35"/>
  <c r="U29" i="35"/>
  <c r="E30" i="35"/>
  <c r="F30" i="35"/>
  <c r="H30" i="35"/>
  <c r="I30" i="35"/>
  <c r="J30" i="35"/>
  <c r="K30" i="35"/>
  <c r="L30" i="35"/>
  <c r="N30" i="35"/>
  <c r="U30" i="35"/>
  <c r="E31" i="35"/>
  <c r="F31" i="35"/>
  <c r="H31" i="35"/>
  <c r="I31" i="35"/>
  <c r="J31" i="35"/>
  <c r="K31" i="35"/>
  <c r="L31" i="35"/>
  <c r="N31" i="35"/>
  <c r="U31" i="35"/>
  <c r="E32" i="35"/>
  <c r="F32" i="35"/>
  <c r="H32" i="35"/>
  <c r="I32" i="35"/>
  <c r="J32" i="35"/>
  <c r="K32" i="35"/>
  <c r="L32" i="35"/>
  <c r="N32" i="35"/>
  <c r="U32" i="35"/>
  <c r="E33" i="35"/>
  <c r="F33" i="35"/>
  <c r="H33" i="35"/>
  <c r="I33" i="35"/>
  <c r="J33" i="35"/>
  <c r="K33" i="35"/>
  <c r="L33" i="35"/>
  <c r="N33" i="35"/>
  <c r="U33" i="35"/>
  <c r="E34" i="35"/>
  <c r="F34" i="35"/>
  <c r="H34" i="35"/>
  <c r="I34" i="35"/>
  <c r="J34" i="35"/>
  <c r="K34" i="35"/>
  <c r="L34" i="35"/>
  <c r="N34" i="35"/>
  <c r="U34" i="35"/>
  <c r="E35" i="35"/>
  <c r="F35" i="35"/>
  <c r="H35" i="35"/>
  <c r="I35" i="35"/>
  <c r="J35" i="35"/>
  <c r="K35" i="35"/>
  <c r="L35" i="35"/>
  <c r="N35" i="35"/>
  <c r="U35" i="35"/>
  <c r="E36" i="35"/>
  <c r="F36" i="35"/>
  <c r="H36" i="35"/>
  <c r="I36" i="35"/>
  <c r="J36" i="35"/>
  <c r="K36" i="35"/>
  <c r="L36" i="35"/>
  <c r="N36" i="35"/>
  <c r="U36" i="35"/>
  <c r="E37" i="35"/>
  <c r="F37" i="35"/>
  <c r="H37" i="35"/>
  <c r="I37" i="35"/>
  <c r="J37" i="35"/>
  <c r="K37" i="35"/>
  <c r="L37" i="35"/>
  <c r="N37" i="35"/>
  <c r="U37" i="35"/>
  <c r="E38" i="35"/>
  <c r="F38" i="35"/>
  <c r="H38" i="35"/>
  <c r="I38" i="35"/>
  <c r="J38" i="35"/>
  <c r="K38" i="35"/>
  <c r="L38" i="35"/>
  <c r="N38" i="35"/>
  <c r="U38" i="35"/>
  <c r="E39" i="35"/>
  <c r="F39" i="35"/>
  <c r="H39" i="35"/>
  <c r="I39" i="35"/>
  <c r="J39" i="35"/>
  <c r="K39" i="35"/>
  <c r="L39" i="35"/>
  <c r="N39" i="35"/>
  <c r="U39" i="35"/>
  <c r="E40" i="35"/>
  <c r="F40" i="35"/>
  <c r="H40" i="35"/>
  <c r="I40" i="35"/>
  <c r="J40" i="35"/>
  <c r="K40" i="35"/>
  <c r="L40" i="35"/>
  <c r="N40" i="35"/>
  <c r="U40" i="35"/>
  <c r="E41" i="35"/>
  <c r="F41" i="35"/>
  <c r="H41" i="35"/>
  <c r="I41" i="35"/>
  <c r="J41" i="35"/>
  <c r="K41" i="35"/>
  <c r="L41" i="35"/>
  <c r="N41" i="35"/>
  <c r="U41" i="35"/>
  <c r="E42" i="35"/>
  <c r="F42" i="35"/>
  <c r="H42" i="35"/>
  <c r="I42" i="35"/>
  <c r="J42" i="35"/>
  <c r="K42" i="35"/>
  <c r="L42" i="35"/>
  <c r="N42" i="35"/>
  <c r="U42" i="35"/>
  <c r="E43" i="35"/>
  <c r="F43" i="35"/>
  <c r="H43" i="35"/>
  <c r="I43" i="35"/>
  <c r="J43" i="35"/>
  <c r="K43" i="35"/>
  <c r="L43" i="35"/>
  <c r="N43" i="35"/>
  <c r="U43" i="35"/>
  <c r="E44" i="35"/>
  <c r="F44" i="35"/>
  <c r="H44" i="35"/>
  <c r="I44" i="35"/>
  <c r="J44" i="35"/>
  <c r="K44" i="35"/>
  <c r="L44" i="35"/>
  <c r="N44" i="35"/>
  <c r="U44" i="35"/>
  <c r="E45" i="35"/>
  <c r="F45" i="35"/>
  <c r="H45" i="35"/>
  <c r="I45" i="35"/>
  <c r="J45" i="35"/>
  <c r="K45" i="35"/>
  <c r="L45" i="35"/>
  <c r="N45" i="35"/>
  <c r="U45" i="35"/>
  <c r="E46" i="35"/>
  <c r="F46" i="35"/>
  <c r="H46" i="35"/>
  <c r="I46" i="35"/>
  <c r="J46" i="35"/>
  <c r="K46" i="35"/>
  <c r="L46" i="35"/>
  <c r="N46" i="35"/>
  <c r="U46" i="35"/>
  <c r="E47" i="35"/>
  <c r="F47" i="35"/>
  <c r="H47" i="35"/>
  <c r="I47" i="35"/>
  <c r="J47" i="35"/>
  <c r="K47" i="35"/>
  <c r="L47" i="35"/>
  <c r="N47" i="35"/>
  <c r="U47" i="35"/>
  <c r="E48" i="35"/>
  <c r="F48" i="35"/>
  <c r="H48" i="35"/>
  <c r="I48" i="35"/>
  <c r="J48" i="35"/>
  <c r="K48" i="35"/>
  <c r="L48" i="35"/>
  <c r="N48" i="35"/>
  <c r="U48" i="35"/>
  <c r="E49" i="35"/>
  <c r="F49" i="35"/>
  <c r="H49" i="35"/>
  <c r="I49" i="35"/>
  <c r="J49" i="35"/>
  <c r="K49" i="35"/>
  <c r="L49" i="35"/>
  <c r="N49" i="35"/>
  <c r="U49" i="35"/>
  <c r="E50" i="35"/>
  <c r="F50" i="35"/>
  <c r="H50" i="35"/>
  <c r="I50" i="35"/>
  <c r="J50" i="35"/>
  <c r="K50" i="35"/>
  <c r="L50" i="35"/>
  <c r="N50" i="35"/>
  <c r="U50" i="35"/>
  <c r="E51" i="35"/>
  <c r="F51" i="35"/>
  <c r="H51" i="35"/>
  <c r="I51" i="35"/>
  <c r="J51" i="35"/>
  <c r="K51" i="35"/>
  <c r="L51" i="35"/>
  <c r="N51" i="35"/>
  <c r="U51" i="35"/>
  <c r="E52" i="35"/>
  <c r="F52" i="35"/>
  <c r="H52" i="35"/>
  <c r="I52" i="35"/>
  <c r="J52" i="35"/>
  <c r="K52" i="35"/>
  <c r="L52" i="35"/>
  <c r="N52" i="35"/>
  <c r="U52" i="35"/>
  <c r="E53" i="35"/>
  <c r="F53" i="35"/>
  <c r="H53" i="35"/>
  <c r="I53" i="35"/>
  <c r="J53" i="35"/>
  <c r="K53" i="35"/>
  <c r="L53" i="35"/>
  <c r="N53" i="35"/>
  <c r="U53" i="35"/>
  <c r="E54" i="35"/>
  <c r="F54" i="35"/>
  <c r="H54" i="35"/>
  <c r="I54" i="35"/>
  <c r="J54" i="35"/>
  <c r="K54" i="35"/>
  <c r="L54" i="35"/>
  <c r="N54" i="35"/>
  <c r="U54" i="35"/>
  <c r="E55" i="35"/>
  <c r="F55" i="35"/>
  <c r="H55" i="35"/>
  <c r="I55" i="35"/>
  <c r="J55" i="35"/>
  <c r="K55" i="35"/>
  <c r="L55" i="35"/>
  <c r="N55" i="35"/>
  <c r="U55" i="35"/>
  <c r="E56" i="35"/>
  <c r="F56" i="35"/>
  <c r="H56" i="35"/>
  <c r="I56" i="35"/>
  <c r="J56" i="35"/>
  <c r="K56" i="35"/>
  <c r="L56" i="35"/>
  <c r="N56" i="35"/>
  <c r="U56" i="35"/>
  <c r="E57" i="35"/>
  <c r="F57" i="35"/>
  <c r="H57" i="35"/>
  <c r="I57" i="35"/>
  <c r="J57" i="35"/>
  <c r="K57" i="35"/>
  <c r="L57" i="35"/>
  <c r="N57" i="35"/>
  <c r="U57" i="35"/>
  <c r="E58" i="35"/>
  <c r="F58" i="35"/>
  <c r="H58" i="35"/>
  <c r="I58" i="35"/>
  <c r="J58" i="35"/>
  <c r="K58" i="35"/>
  <c r="L58" i="35"/>
  <c r="N58" i="35"/>
  <c r="U58" i="35"/>
  <c r="E59" i="35"/>
  <c r="F59" i="35"/>
  <c r="H59" i="35"/>
  <c r="I59" i="35"/>
  <c r="J59" i="35"/>
  <c r="K59" i="35"/>
  <c r="L59" i="35"/>
  <c r="N59" i="35"/>
  <c r="U59" i="35"/>
  <c r="E60" i="35"/>
  <c r="F60" i="35"/>
  <c r="H60" i="35"/>
  <c r="I60" i="35"/>
  <c r="J60" i="35"/>
  <c r="K60" i="35"/>
  <c r="L60" i="35"/>
  <c r="N60" i="35"/>
  <c r="U60" i="35"/>
  <c r="E61" i="35"/>
  <c r="F61" i="35"/>
  <c r="H61" i="35"/>
  <c r="I61" i="35"/>
  <c r="J61" i="35"/>
  <c r="K61" i="35"/>
  <c r="L61" i="35"/>
  <c r="N61" i="35"/>
  <c r="U61" i="35"/>
  <c r="E62" i="35"/>
  <c r="F62" i="35"/>
  <c r="H62" i="35"/>
  <c r="I62" i="35"/>
  <c r="J62" i="35"/>
  <c r="K62" i="35"/>
  <c r="L62" i="35"/>
  <c r="N62" i="35"/>
  <c r="U62" i="35"/>
  <c r="E63" i="35"/>
  <c r="F63" i="35"/>
  <c r="H63" i="35"/>
  <c r="I63" i="35"/>
  <c r="J63" i="35"/>
  <c r="K63" i="35"/>
  <c r="L63" i="35"/>
  <c r="N63" i="35"/>
  <c r="U63" i="35"/>
  <c r="E64" i="35"/>
  <c r="F64" i="35"/>
  <c r="H64" i="35"/>
  <c r="I64" i="35"/>
  <c r="J64" i="35"/>
  <c r="K64" i="35"/>
  <c r="L64" i="35"/>
  <c r="N64" i="35"/>
  <c r="U64" i="35"/>
  <c r="E65" i="35"/>
  <c r="F65" i="35"/>
  <c r="H65" i="35"/>
  <c r="I65" i="35"/>
  <c r="J65" i="35"/>
  <c r="K65" i="35"/>
  <c r="L65" i="35"/>
  <c r="N65" i="35"/>
  <c r="U65" i="35"/>
  <c r="E66" i="35"/>
  <c r="F66" i="35"/>
  <c r="H66" i="35"/>
  <c r="I66" i="35"/>
  <c r="J66" i="35"/>
  <c r="K66" i="35"/>
  <c r="L66" i="35"/>
  <c r="N66" i="35"/>
  <c r="U66" i="35"/>
  <c r="E67" i="35"/>
  <c r="F67" i="35"/>
  <c r="H67" i="35"/>
  <c r="I67" i="35"/>
  <c r="J67" i="35"/>
  <c r="K67" i="35"/>
  <c r="L67" i="35"/>
  <c r="N67" i="35"/>
  <c r="U67" i="35"/>
  <c r="E68" i="35"/>
  <c r="F68" i="35"/>
  <c r="H68" i="35"/>
  <c r="I68" i="35"/>
  <c r="J68" i="35"/>
  <c r="K68" i="35"/>
  <c r="L68" i="35"/>
  <c r="N68" i="35"/>
  <c r="U68" i="35"/>
  <c r="E69" i="35"/>
  <c r="F69" i="35"/>
  <c r="H69" i="35"/>
  <c r="I69" i="35"/>
  <c r="J69" i="35"/>
  <c r="K69" i="35"/>
  <c r="L69" i="35"/>
  <c r="N69" i="35"/>
  <c r="U69" i="35"/>
  <c r="E70" i="35"/>
  <c r="F70" i="35"/>
  <c r="H70" i="35"/>
  <c r="I70" i="35"/>
  <c r="J70" i="35"/>
  <c r="K70" i="35"/>
  <c r="L70" i="35"/>
  <c r="N70" i="35"/>
  <c r="U70" i="35"/>
  <c r="E71" i="35"/>
  <c r="F71" i="35"/>
  <c r="H71" i="35"/>
  <c r="I71" i="35"/>
  <c r="J71" i="35"/>
  <c r="K71" i="35"/>
  <c r="L71" i="35"/>
  <c r="N71" i="35"/>
  <c r="U71" i="35"/>
  <c r="E72" i="35"/>
  <c r="F72" i="35"/>
  <c r="H72" i="35"/>
  <c r="I72" i="35"/>
  <c r="J72" i="35"/>
  <c r="K72" i="35"/>
  <c r="L72" i="35"/>
  <c r="N72" i="35"/>
  <c r="U72" i="35"/>
  <c r="E73" i="35"/>
  <c r="F73" i="35"/>
  <c r="H73" i="35"/>
  <c r="I73" i="35"/>
  <c r="J73" i="35"/>
  <c r="K73" i="35"/>
  <c r="L73" i="35"/>
  <c r="N73" i="35"/>
  <c r="U73" i="35"/>
  <c r="E74" i="35"/>
  <c r="F74" i="35"/>
  <c r="H74" i="35"/>
  <c r="I74" i="35"/>
  <c r="J74" i="35"/>
  <c r="K74" i="35"/>
  <c r="L74" i="35"/>
  <c r="N74" i="35"/>
  <c r="U74" i="35"/>
  <c r="E75" i="35"/>
  <c r="F75" i="35"/>
  <c r="H75" i="35"/>
  <c r="I75" i="35"/>
  <c r="J75" i="35"/>
  <c r="K75" i="35"/>
  <c r="L75" i="35"/>
  <c r="N75" i="35"/>
  <c r="U75" i="35"/>
  <c r="U114" i="35"/>
  <c r="E114" i="35"/>
  <c r="V114" i="35"/>
  <c r="N115" i="35"/>
  <c r="O115" i="35"/>
  <c r="N114" i="35"/>
  <c r="O114" i="35"/>
  <c r="L115" i="35"/>
  <c r="M115" i="35"/>
  <c r="L114" i="35"/>
  <c r="M114" i="35"/>
  <c r="F115" i="35"/>
  <c r="G115" i="35"/>
  <c r="F114" i="35"/>
  <c r="G114" i="35"/>
  <c r="F111" i="38"/>
  <c r="G111" i="38"/>
  <c r="H111" i="38"/>
  <c r="I111" i="38"/>
  <c r="J111" i="38"/>
  <c r="K111" i="38"/>
  <c r="L111" i="38"/>
  <c r="M111" i="38"/>
  <c r="N111" i="38"/>
  <c r="P111" i="38"/>
  <c r="Q111" i="38"/>
  <c r="E111" i="37"/>
  <c r="F111" i="37"/>
  <c r="G111" i="37"/>
  <c r="H111" i="37"/>
  <c r="I111" i="37"/>
  <c r="J111" i="37"/>
  <c r="K111" i="37"/>
  <c r="L111" i="37"/>
  <c r="M111" i="37"/>
  <c r="N111" i="37"/>
  <c r="O111" i="37"/>
  <c r="F111" i="36"/>
  <c r="N111" i="36"/>
  <c r="P111" i="36"/>
  <c r="E111" i="36"/>
  <c r="O111" i="36"/>
  <c r="K111" i="36"/>
  <c r="I111" i="36"/>
  <c r="H111" i="36"/>
  <c r="G111" i="36"/>
  <c r="E110" i="35"/>
  <c r="F110" i="35"/>
  <c r="H110" i="35"/>
  <c r="I110" i="35"/>
  <c r="J110" i="35"/>
  <c r="K110" i="35"/>
  <c r="L110" i="35"/>
  <c r="N110" i="35"/>
  <c r="U110" i="35"/>
  <c r="V110" i="35"/>
  <c r="E111" i="35"/>
  <c r="F111" i="35"/>
  <c r="H111" i="35"/>
  <c r="I111" i="35"/>
  <c r="J111" i="35"/>
  <c r="K111" i="35"/>
  <c r="L111" i="35"/>
  <c r="N111" i="35"/>
  <c r="U111" i="35"/>
  <c r="V111" i="35"/>
  <c r="S110" i="35"/>
  <c r="P110" i="35"/>
  <c r="Q110" i="35"/>
  <c r="P111" i="35"/>
  <c r="Q111" i="35"/>
  <c r="O110" i="35"/>
  <c r="O111" i="35"/>
  <c r="M110" i="35"/>
  <c r="M111" i="35"/>
  <c r="G110" i="35"/>
  <c r="G111" i="35"/>
  <c r="J111" i="36"/>
  <c r="L111" i="36"/>
  <c r="U111" i="36"/>
  <c r="V111" i="36"/>
  <c r="Q111" i="36"/>
  <c r="U111" i="38"/>
  <c r="V111" i="38"/>
  <c r="O111" i="38"/>
  <c r="U111" i="37"/>
  <c r="V111" i="37"/>
  <c r="P111" i="37"/>
  <c r="Q111" i="37"/>
  <c r="M111" i="36"/>
  <c r="H4" i="38"/>
  <c r="I4" i="38"/>
  <c r="H5" i="38"/>
  <c r="I5" i="38"/>
  <c r="H6" i="38"/>
  <c r="I6" i="38"/>
  <c r="H106" i="38"/>
  <c r="I106" i="38"/>
  <c r="H107" i="38"/>
  <c r="I107" i="38"/>
  <c r="H108" i="38"/>
  <c r="I108" i="38"/>
  <c r="H109" i="38"/>
  <c r="I109" i="38"/>
  <c r="H110" i="38"/>
  <c r="I110" i="38"/>
  <c r="H4" i="37"/>
  <c r="I4" i="37"/>
  <c r="H5" i="37"/>
  <c r="I5" i="37"/>
  <c r="H6" i="37"/>
  <c r="I6" i="37"/>
  <c r="H7" i="37"/>
  <c r="I7" i="37"/>
  <c r="H8" i="37"/>
  <c r="I8" i="37"/>
  <c r="H9" i="37"/>
  <c r="I9" i="37"/>
  <c r="H10" i="37"/>
  <c r="I10" i="37"/>
  <c r="H11" i="37"/>
  <c r="I11" i="37"/>
  <c r="H12" i="37"/>
  <c r="I12" i="37"/>
  <c r="H13" i="37"/>
  <c r="I13" i="37"/>
  <c r="H14" i="37"/>
  <c r="I14" i="37"/>
  <c r="H15" i="37"/>
  <c r="I15" i="37"/>
  <c r="H16" i="37"/>
  <c r="I16" i="37"/>
  <c r="H17" i="37"/>
  <c r="I17" i="37"/>
  <c r="H18" i="37"/>
  <c r="I18" i="37"/>
  <c r="H19" i="37"/>
  <c r="I19" i="37"/>
  <c r="H20" i="37"/>
  <c r="I20" i="37"/>
  <c r="H21" i="37"/>
  <c r="I21" i="37"/>
  <c r="H22" i="37"/>
  <c r="I22" i="37"/>
  <c r="H23" i="37"/>
  <c r="I23" i="37"/>
  <c r="H24" i="37"/>
  <c r="I24" i="37"/>
  <c r="H25" i="37"/>
  <c r="I25" i="37"/>
  <c r="H26" i="37"/>
  <c r="I26" i="37"/>
  <c r="H27" i="37"/>
  <c r="I27" i="37"/>
  <c r="H28" i="37"/>
  <c r="I28" i="37"/>
  <c r="H29" i="37"/>
  <c r="I29" i="37"/>
  <c r="H30" i="37"/>
  <c r="I30" i="37"/>
  <c r="H31" i="37"/>
  <c r="I31" i="37"/>
  <c r="H32" i="37"/>
  <c r="I32" i="37"/>
  <c r="H33" i="37"/>
  <c r="I33" i="37"/>
  <c r="H34" i="37"/>
  <c r="I34" i="37"/>
  <c r="H35" i="37"/>
  <c r="I35" i="37"/>
  <c r="H36" i="37"/>
  <c r="I36" i="37"/>
  <c r="H37" i="37"/>
  <c r="I37" i="37"/>
  <c r="H38" i="37"/>
  <c r="I38" i="37"/>
  <c r="H39" i="37"/>
  <c r="I39" i="37"/>
  <c r="H40" i="37"/>
  <c r="I40" i="37"/>
  <c r="H41" i="37"/>
  <c r="I41" i="37"/>
  <c r="H42" i="37"/>
  <c r="I42" i="37"/>
  <c r="H43" i="37"/>
  <c r="I43" i="37"/>
  <c r="H44" i="37"/>
  <c r="I44" i="37"/>
  <c r="H45" i="37"/>
  <c r="I45" i="37"/>
  <c r="H46" i="37"/>
  <c r="I46" i="37"/>
  <c r="H47" i="37"/>
  <c r="I47" i="37"/>
  <c r="H48" i="37"/>
  <c r="I48" i="37"/>
  <c r="H49" i="37"/>
  <c r="I49" i="37"/>
  <c r="H50" i="37"/>
  <c r="I50" i="37"/>
  <c r="H51" i="37"/>
  <c r="I51" i="37"/>
  <c r="H52" i="37"/>
  <c r="I52" i="37"/>
  <c r="H53" i="37"/>
  <c r="I53" i="37"/>
  <c r="H54" i="37"/>
  <c r="I54" i="37"/>
  <c r="H55" i="37"/>
  <c r="I55" i="37"/>
  <c r="H56" i="37"/>
  <c r="I56" i="37"/>
  <c r="H57" i="37"/>
  <c r="I57" i="37"/>
  <c r="H58" i="37"/>
  <c r="I58" i="37"/>
  <c r="H59" i="37"/>
  <c r="I59" i="37"/>
  <c r="H60" i="37"/>
  <c r="I60" i="37"/>
  <c r="H61" i="37"/>
  <c r="I61" i="37"/>
  <c r="H62" i="37"/>
  <c r="I62" i="37"/>
  <c r="H63" i="37"/>
  <c r="I63" i="37"/>
  <c r="H64" i="37"/>
  <c r="I64" i="37"/>
  <c r="H65" i="37"/>
  <c r="I65" i="37"/>
  <c r="H66" i="37"/>
  <c r="I66" i="37"/>
  <c r="H67" i="37"/>
  <c r="I67" i="37"/>
  <c r="H68" i="37"/>
  <c r="I68" i="37"/>
  <c r="H69" i="37"/>
  <c r="I69" i="37"/>
  <c r="H70" i="37"/>
  <c r="I70" i="37"/>
  <c r="H71" i="37"/>
  <c r="I71" i="37"/>
  <c r="H72" i="37"/>
  <c r="I72" i="37"/>
  <c r="H73" i="37"/>
  <c r="I73" i="37"/>
  <c r="H74" i="37"/>
  <c r="I74" i="37"/>
  <c r="H75" i="37"/>
  <c r="I75" i="37"/>
  <c r="H76" i="37"/>
  <c r="I76" i="37"/>
  <c r="H78" i="37"/>
  <c r="I78" i="37"/>
  <c r="H79" i="37"/>
  <c r="I79" i="37"/>
  <c r="H80" i="37"/>
  <c r="I80" i="37"/>
  <c r="H81" i="37"/>
  <c r="I81" i="37"/>
  <c r="H82" i="37"/>
  <c r="I82" i="37"/>
  <c r="H83" i="37"/>
  <c r="I83" i="37"/>
  <c r="H84" i="37"/>
  <c r="I84" i="37"/>
  <c r="H85" i="37"/>
  <c r="I85" i="37"/>
  <c r="H86" i="37"/>
  <c r="I86" i="37"/>
  <c r="H87" i="37"/>
  <c r="I87" i="37"/>
  <c r="H88" i="37"/>
  <c r="I88" i="37"/>
  <c r="H89" i="37"/>
  <c r="I89" i="37"/>
  <c r="H90" i="37"/>
  <c r="I90" i="37"/>
  <c r="H91" i="37"/>
  <c r="I91" i="37"/>
  <c r="H92" i="37"/>
  <c r="I92" i="37"/>
  <c r="H93" i="37"/>
  <c r="I93" i="37"/>
  <c r="H94" i="37"/>
  <c r="I94" i="37"/>
  <c r="H95" i="37"/>
  <c r="I95" i="37"/>
  <c r="H96" i="37"/>
  <c r="I96" i="37"/>
  <c r="H97" i="37"/>
  <c r="I97" i="37"/>
  <c r="H98" i="37"/>
  <c r="I98" i="37"/>
  <c r="H99" i="37"/>
  <c r="I99" i="37"/>
  <c r="H100" i="37"/>
  <c r="I100" i="37"/>
  <c r="H101" i="37"/>
  <c r="I101" i="37"/>
  <c r="H102" i="37"/>
  <c r="I102" i="37"/>
  <c r="H103" i="37"/>
  <c r="I103" i="37"/>
  <c r="H106" i="37"/>
  <c r="I106" i="37"/>
  <c r="H107" i="37"/>
  <c r="I107" i="37"/>
  <c r="H108" i="37"/>
  <c r="I108" i="37"/>
  <c r="H109" i="37"/>
  <c r="I109" i="37"/>
  <c r="H110" i="37"/>
  <c r="I110" i="37"/>
  <c r="I4" i="36"/>
  <c r="I5" i="36"/>
  <c r="I6" i="36"/>
  <c r="I7" i="36"/>
  <c r="I8" i="36"/>
  <c r="I9" i="36"/>
  <c r="I10" i="36"/>
  <c r="I11" i="36"/>
  <c r="I12" i="36"/>
  <c r="I13" i="36"/>
  <c r="I14" i="36"/>
  <c r="I15" i="36"/>
  <c r="I16" i="36"/>
  <c r="I17" i="36"/>
  <c r="I18" i="36"/>
  <c r="I19" i="36"/>
  <c r="I20" i="36"/>
  <c r="I21" i="36"/>
  <c r="I22" i="36"/>
  <c r="I23" i="36"/>
  <c r="I24" i="36"/>
  <c r="I25" i="36"/>
  <c r="I26" i="36"/>
  <c r="I27" i="36"/>
  <c r="I28" i="36"/>
  <c r="I29" i="36"/>
  <c r="I30" i="36"/>
  <c r="I31" i="36"/>
  <c r="I32" i="36"/>
  <c r="I33" i="36"/>
  <c r="I34" i="36"/>
  <c r="I35" i="36"/>
  <c r="I36" i="36"/>
  <c r="I37" i="36"/>
  <c r="I38" i="36"/>
  <c r="I39" i="36"/>
  <c r="I40" i="36"/>
  <c r="I41" i="36"/>
  <c r="I42" i="36"/>
  <c r="I43" i="36"/>
  <c r="I44" i="36"/>
  <c r="I45" i="36"/>
  <c r="I46" i="36"/>
  <c r="I47" i="36"/>
  <c r="I48" i="36"/>
  <c r="I49" i="36"/>
  <c r="I50" i="36"/>
  <c r="I51" i="36"/>
  <c r="I52" i="36"/>
  <c r="I53" i="36"/>
  <c r="I54" i="36"/>
  <c r="I55" i="36"/>
  <c r="I56" i="36"/>
  <c r="I57" i="36"/>
  <c r="I58" i="36"/>
  <c r="I59" i="36"/>
  <c r="I60" i="36"/>
  <c r="I61" i="36"/>
  <c r="I62" i="36"/>
  <c r="I63" i="36"/>
  <c r="I64" i="36"/>
  <c r="I65" i="36"/>
  <c r="I66" i="36"/>
  <c r="I67" i="36"/>
  <c r="I68" i="36"/>
  <c r="I69" i="36"/>
  <c r="I70" i="36"/>
  <c r="I71" i="36"/>
  <c r="I72" i="36"/>
  <c r="I73" i="36"/>
  <c r="I74" i="36"/>
  <c r="I75" i="36"/>
  <c r="I76" i="36"/>
  <c r="I77" i="36"/>
  <c r="I78" i="36"/>
  <c r="I79" i="36"/>
  <c r="I80" i="36"/>
  <c r="I81" i="36"/>
  <c r="I82" i="36"/>
  <c r="I83" i="36"/>
  <c r="I84" i="36"/>
  <c r="I85" i="36"/>
  <c r="I86" i="36"/>
  <c r="I87" i="36"/>
  <c r="I88" i="36"/>
  <c r="I89" i="36"/>
  <c r="I90" i="36"/>
  <c r="I91" i="36"/>
  <c r="I92" i="36"/>
  <c r="I93" i="36"/>
  <c r="I94" i="36"/>
  <c r="I95" i="36"/>
  <c r="I96" i="36"/>
  <c r="I97" i="36"/>
  <c r="I98" i="36"/>
  <c r="I99" i="36"/>
  <c r="I100" i="36"/>
  <c r="I101" i="36"/>
  <c r="I102" i="36"/>
  <c r="I103" i="36"/>
  <c r="I106" i="36"/>
  <c r="I107" i="36"/>
  <c r="I108" i="36"/>
  <c r="I109" i="36"/>
  <c r="I110" i="36"/>
  <c r="H77" i="36"/>
  <c r="H78" i="36"/>
  <c r="H79" i="36"/>
  <c r="H80" i="36"/>
  <c r="H81" i="36"/>
  <c r="H82" i="36"/>
  <c r="H83" i="36"/>
  <c r="H84" i="36"/>
  <c r="H85" i="36"/>
  <c r="H86" i="36"/>
  <c r="H87" i="36"/>
  <c r="H88" i="36"/>
  <c r="H89" i="36"/>
  <c r="H90" i="36"/>
  <c r="H91" i="36"/>
  <c r="H92" i="36"/>
  <c r="H93" i="36"/>
  <c r="H94" i="36"/>
  <c r="H95" i="36"/>
  <c r="H96" i="36"/>
  <c r="H97" i="36"/>
  <c r="H98" i="36"/>
  <c r="H99" i="36"/>
  <c r="H100" i="36"/>
  <c r="H101" i="36"/>
  <c r="H102" i="36"/>
  <c r="H103" i="36"/>
  <c r="H106" i="36"/>
  <c r="H107" i="36"/>
  <c r="H108" i="36"/>
  <c r="H109" i="36"/>
  <c r="H110"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I104" i="35"/>
  <c r="I105" i="35"/>
  <c r="I106" i="35"/>
  <c r="I107" i="35"/>
  <c r="I108" i="35"/>
  <c r="I109" i="35"/>
  <c r="I4" i="35"/>
  <c r="H104" i="35"/>
  <c r="H105" i="35"/>
  <c r="H106" i="35"/>
  <c r="H107" i="35"/>
  <c r="H108" i="35"/>
  <c r="H109" i="35"/>
  <c r="H4" i="35"/>
  <c r="V75" i="35"/>
  <c r="I77" i="37"/>
  <c r="H77" i="37"/>
  <c r="H76" i="36"/>
  <c r="N5" i="38"/>
  <c r="N6" i="38"/>
  <c r="N106" i="38"/>
  <c r="N107" i="38"/>
  <c r="N108" i="38"/>
  <c r="N109" i="38"/>
  <c r="N110" i="38"/>
  <c r="N4" i="38"/>
  <c r="N5" i="37"/>
  <c r="N6" i="37"/>
  <c r="N7" i="37"/>
  <c r="N8" i="37"/>
  <c r="N9" i="37"/>
  <c r="N10" i="37"/>
  <c r="N11" i="37"/>
  <c r="N12" i="37"/>
  <c r="N13" i="37"/>
  <c r="N14" i="37"/>
  <c r="N15" i="37"/>
  <c r="N16" i="37"/>
  <c r="N17" i="37"/>
  <c r="N18" i="37"/>
  <c r="N19" i="37"/>
  <c r="N20" i="37"/>
  <c r="N21" i="37"/>
  <c r="N22" i="37"/>
  <c r="N23" i="37"/>
  <c r="N24" i="37"/>
  <c r="N25" i="37"/>
  <c r="N26" i="37"/>
  <c r="N27" i="37"/>
  <c r="N28" i="37"/>
  <c r="N29" i="37"/>
  <c r="N30" i="37"/>
  <c r="N31" i="37"/>
  <c r="N32" i="37"/>
  <c r="N33" i="37"/>
  <c r="N34" i="37"/>
  <c r="N35" i="37"/>
  <c r="N36" i="37"/>
  <c r="N37" i="37"/>
  <c r="N38" i="37"/>
  <c r="N39" i="37"/>
  <c r="N40" i="37"/>
  <c r="N41" i="37"/>
  <c r="N42" i="37"/>
  <c r="N43" i="37"/>
  <c r="N44" i="37"/>
  <c r="N45" i="37"/>
  <c r="N46" i="37"/>
  <c r="N47" i="37"/>
  <c r="N48" i="37"/>
  <c r="N49" i="37"/>
  <c r="N50" i="37"/>
  <c r="N51" i="37"/>
  <c r="N52" i="37"/>
  <c r="N53" i="37"/>
  <c r="N54" i="37"/>
  <c r="N55" i="37"/>
  <c r="N56" i="37"/>
  <c r="N57" i="37"/>
  <c r="N58" i="37"/>
  <c r="N59" i="37"/>
  <c r="N60" i="37"/>
  <c r="N61" i="37"/>
  <c r="N62" i="37"/>
  <c r="N63" i="37"/>
  <c r="N64" i="37"/>
  <c r="N65" i="37"/>
  <c r="N66" i="37"/>
  <c r="N67" i="37"/>
  <c r="N68" i="37"/>
  <c r="N69" i="37"/>
  <c r="N70" i="37"/>
  <c r="N71" i="37"/>
  <c r="N72" i="37"/>
  <c r="N73" i="37"/>
  <c r="N74" i="37"/>
  <c r="N75" i="37"/>
  <c r="N76" i="37"/>
  <c r="N77" i="37"/>
  <c r="N78" i="37"/>
  <c r="N79" i="37"/>
  <c r="N80" i="37"/>
  <c r="N81" i="37"/>
  <c r="N82" i="37"/>
  <c r="N83" i="37"/>
  <c r="N84" i="37"/>
  <c r="N85" i="37"/>
  <c r="N86" i="37"/>
  <c r="N87" i="37"/>
  <c r="N88" i="37"/>
  <c r="N89" i="37"/>
  <c r="N90" i="37"/>
  <c r="N91" i="37"/>
  <c r="N92" i="37"/>
  <c r="N93" i="37"/>
  <c r="N94" i="37"/>
  <c r="N95" i="37"/>
  <c r="N96" i="37"/>
  <c r="N97" i="37"/>
  <c r="N98" i="37"/>
  <c r="N99" i="37"/>
  <c r="N100" i="37"/>
  <c r="N101" i="37"/>
  <c r="N102" i="37"/>
  <c r="N103" i="37"/>
  <c r="N106" i="37"/>
  <c r="N107" i="37"/>
  <c r="N108" i="37"/>
  <c r="N109" i="37"/>
  <c r="N110" i="37"/>
  <c r="N4" i="37"/>
  <c r="N5" i="36"/>
  <c r="N6" i="36"/>
  <c r="N7" i="36"/>
  <c r="N8" i="36"/>
  <c r="N9" i="36"/>
  <c r="N10" i="36"/>
  <c r="N11" i="36"/>
  <c r="N12" i="36"/>
  <c r="N13" i="36"/>
  <c r="N14" i="36"/>
  <c r="N15" i="36"/>
  <c r="N16" i="36"/>
  <c r="N17" i="36"/>
  <c r="N18" i="36"/>
  <c r="N19" i="36"/>
  <c r="N20" i="36"/>
  <c r="N21" i="36"/>
  <c r="N22" i="36"/>
  <c r="N23" i="36"/>
  <c r="N24" i="36"/>
  <c r="N25" i="36"/>
  <c r="N26" i="36"/>
  <c r="N27" i="36"/>
  <c r="N28" i="36"/>
  <c r="N29" i="36"/>
  <c r="N30" i="36"/>
  <c r="N31" i="36"/>
  <c r="N32" i="36"/>
  <c r="N33" i="36"/>
  <c r="N34" i="36"/>
  <c r="N35" i="36"/>
  <c r="N36" i="36"/>
  <c r="N37" i="36"/>
  <c r="N38" i="36"/>
  <c r="N39" i="36"/>
  <c r="N40" i="36"/>
  <c r="N41" i="36"/>
  <c r="N42" i="36"/>
  <c r="N43" i="36"/>
  <c r="N44" i="36"/>
  <c r="N45" i="36"/>
  <c r="N46" i="36"/>
  <c r="N47" i="36"/>
  <c r="N48" i="36"/>
  <c r="N49" i="36"/>
  <c r="N50" i="36"/>
  <c r="N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91" i="36"/>
  <c r="N92" i="36"/>
  <c r="N93" i="36"/>
  <c r="N94" i="36"/>
  <c r="N95" i="36"/>
  <c r="N96" i="36"/>
  <c r="N97" i="36"/>
  <c r="N98" i="36"/>
  <c r="N99" i="36"/>
  <c r="N100" i="36"/>
  <c r="N101" i="36"/>
  <c r="N102" i="36"/>
  <c r="N103" i="36"/>
  <c r="N106" i="36"/>
  <c r="N107" i="36"/>
  <c r="N108" i="36"/>
  <c r="N109" i="36"/>
  <c r="N110" i="36"/>
  <c r="N4" i="36"/>
  <c r="N4" i="35"/>
  <c r="N104" i="35"/>
  <c r="N105" i="35"/>
  <c r="N106" i="35"/>
  <c r="N107" i="35"/>
  <c r="N108" i="35"/>
  <c r="N109" i="35"/>
  <c r="N114" i="37"/>
  <c r="N115" i="37"/>
  <c r="N115" i="36"/>
  <c r="N114" i="36"/>
  <c r="O46" i="35"/>
  <c r="O25" i="35"/>
  <c r="T7" i="36"/>
  <c r="T8" i="36"/>
  <c r="T107" i="36"/>
  <c r="T108" i="36"/>
  <c r="T109" i="36"/>
  <c r="T110" i="36"/>
  <c r="T106" i="36"/>
  <c r="T7" i="37"/>
  <c r="T103" i="38"/>
  <c r="T106" i="38"/>
  <c r="T107" i="38"/>
  <c r="T108" i="38"/>
  <c r="T109" i="38"/>
  <c r="T110" i="38"/>
  <c r="K5" i="38"/>
  <c r="K6" i="38"/>
  <c r="K106" i="38"/>
  <c r="K107" i="38"/>
  <c r="K108" i="38"/>
  <c r="K109" i="38"/>
  <c r="K110" i="38"/>
  <c r="K4" i="38"/>
  <c r="J5" i="38"/>
  <c r="L5" i="38"/>
  <c r="J107" i="38"/>
  <c r="L107" i="38"/>
  <c r="J109" i="38"/>
  <c r="F5" i="38"/>
  <c r="F6" i="38"/>
  <c r="F106" i="38"/>
  <c r="F107" i="38"/>
  <c r="F108" i="38"/>
  <c r="F109" i="38"/>
  <c r="F110" i="38"/>
  <c r="E5" i="38"/>
  <c r="O5" i="38"/>
  <c r="E6" i="38"/>
  <c r="O6" i="38"/>
  <c r="O7" i="38"/>
  <c r="O8" i="38"/>
  <c r="O9" i="38"/>
  <c r="O10" i="38"/>
  <c r="O11" i="38"/>
  <c r="O12" i="38"/>
  <c r="O13" i="38"/>
  <c r="O14" i="38"/>
  <c r="O15" i="38"/>
  <c r="O16" i="38"/>
  <c r="O17" i="38"/>
  <c r="O18" i="38"/>
  <c r="O19" i="38"/>
  <c r="O20" i="38"/>
  <c r="O21" i="38"/>
  <c r="O22" i="38"/>
  <c r="O23" i="38"/>
  <c r="O24" i="38"/>
  <c r="O25" i="38"/>
  <c r="O26" i="38"/>
  <c r="O27" i="38"/>
  <c r="O28" i="38"/>
  <c r="O29" i="38"/>
  <c r="O30" i="38"/>
  <c r="O31" i="38"/>
  <c r="O32" i="38"/>
  <c r="O33" i="38"/>
  <c r="O34" i="38"/>
  <c r="O35" i="38"/>
  <c r="O36" i="38"/>
  <c r="O37" i="38"/>
  <c r="O38" i="38"/>
  <c r="O39" i="38"/>
  <c r="O40" i="38"/>
  <c r="O41" i="38"/>
  <c r="O42" i="38"/>
  <c r="O43" i="38"/>
  <c r="O44" i="38"/>
  <c r="O45" i="38"/>
  <c r="O46" i="38"/>
  <c r="O47" i="38"/>
  <c r="O48" i="38"/>
  <c r="O49" i="38"/>
  <c r="O50" i="38"/>
  <c r="O51" i="38"/>
  <c r="O52" i="38"/>
  <c r="O53" i="38"/>
  <c r="O54" i="38"/>
  <c r="O55" i="38"/>
  <c r="O56" i="38"/>
  <c r="O57" i="38"/>
  <c r="O58" i="38"/>
  <c r="O59" i="38"/>
  <c r="O60" i="38"/>
  <c r="O61" i="38"/>
  <c r="O62" i="38"/>
  <c r="O63" i="38"/>
  <c r="O64" i="38"/>
  <c r="O65" i="38"/>
  <c r="O66" i="38"/>
  <c r="O67" i="38"/>
  <c r="O68" i="38"/>
  <c r="O69" i="38"/>
  <c r="O70" i="38"/>
  <c r="O71" i="38"/>
  <c r="O72" i="38"/>
  <c r="O73" i="38"/>
  <c r="O74" i="38"/>
  <c r="O75" i="38"/>
  <c r="O76" i="38"/>
  <c r="O77" i="38"/>
  <c r="O78" i="38"/>
  <c r="O79" i="38"/>
  <c r="O80" i="38"/>
  <c r="O81" i="38"/>
  <c r="O82" i="38"/>
  <c r="O83" i="38"/>
  <c r="O84" i="38"/>
  <c r="O85" i="38"/>
  <c r="O86" i="38"/>
  <c r="O87" i="38"/>
  <c r="O88" i="38"/>
  <c r="O89" i="38"/>
  <c r="O90" i="38"/>
  <c r="O91" i="38"/>
  <c r="O92" i="38"/>
  <c r="O93" i="38"/>
  <c r="O94" i="38"/>
  <c r="O95" i="38"/>
  <c r="O96" i="38"/>
  <c r="O97" i="38"/>
  <c r="O98" i="38"/>
  <c r="O99" i="38"/>
  <c r="O100" i="38"/>
  <c r="O101" i="38"/>
  <c r="O102" i="38"/>
  <c r="O103" i="38"/>
  <c r="E106" i="38"/>
  <c r="O106" i="38"/>
  <c r="E107" i="38"/>
  <c r="O107" i="38"/>
  <c r="E108" i="38"/>
  <c r="O108" i="38"/>
  <c r="E109" i="38"/>
  <c r="O109" i="38"/>
  <c r="E110" i="38"/>
  <c r="O110" i="38"/>
  <c r="E4" i="38"/>
  <c r="O4"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S78" i="38"/>
  <c r="T77" i="38"/>
  <c r="T76" i="38"/>
  <c r="T75" i="38"/>
  <c r="T74" i="38"/>
  <c r="S74" i="38"/>
  <c r="T73" i="38"/>
  <c r="T72" i="38"/>
  <c r="T71" i="38"/>
  <c r="T70" i="38"/>
  <c r="S70" i="38"/>
  <c r="T69" i="38"/>
  <c r="T68" i="38"/>
  <c r="T67" i="38"/>
  <c r="T66" i="38"/>
  <c r="T65" i="38"/>
  <c r="T64" i="38"/>
  <c r="T63" i="38"/>
  <c r="S63" i="38"/>
  <c r="T62" i="38"/>
  <c r="T61" i="38"/>
  <c r="S61" i="38"/>
  <c r="T60" i="38"/>
  <c r="T59" i="38"/>
  <c r="T58" i="38"/>
  <c r="T57" i="38"/>
  <c r="T56" i="38"/>
  <c r="T55" i="38"/>
  <c r="T54" i="38"/>
  <c r="T53" i="38"/>
  <c r="T52" i="38"/>
  <c r="T51" i="38"/>
  <c r="T50" i="38"/>
  <c r="T49" i="38"/>
  <c r="S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T20" i="38"/>
  <c r="T19" i="38"/>
  <c r="S19" i="38"/>
  <c r="T18" i="38"/>
  <c r="T17" i="38"/>
  <c r="T16" i="38"/>
  <c r="T15" i="38"/>
  <c r="S15" i="38"/>
  <c r="T14" i="38"/>
  <c r="T13" i="38"/>
  <c r="T12" i="38"/>
  <c r="T11" i="38"/>
  <c r="S11" i="38"/>
  <c r="T10" i="38"/>
  <c r="T9" i="38"/>
  <c r="T8" i="38"/>
  <c r="T7" i="38"/>
  <c r="P4" i="38"/>
  <c r="T102" i="36"/>
  <c r="T103" i="36"/>
  <c r="K102" i="36"/>
  <c r="K103" i="36"/>
  <c r="K106" i="36"/>
  <c r="K107" i="36"/>
  <c r="K108" i="36"/>
  <c r="K109" i="36"/>
  <c r="K110" i="36"/>
  <c r="J102" i="36"/>
  <c r="L102" i="36"/>
  <c r="J103" i="36"/>
  <c r="J108" i="36"/>
  <c r="L108" i="36"/>
  <c r="J109" i="36"/>
  <c r="F102" i="36"/>
  <c r="P102" i="36"/>
  <c r="F103" i="36"/>
  <c r="P103" i="36"/>
  <c r="F106" i="36"/>
  <c r="P106" i="36"/>
  <c r="F107" i="36"/>
  <c r="F108" i="36"/>
  <c r="P108" i="36"/>
  <c r="E108" i="36"/>
  <c r="Q108" i="36"/>
  <c r="F109" i="36"/>
  <c r="P109" i="36"/>
  <c r="F110" i="36"/>
  <c r="P110" i="36"/>
  <c r="E102" i="36"/>
  <c r="O102" i="36"/>
  <c r="E103" i="36"/>
  <c r="O103" i="36"/>
  <c r="E106" i="36"/>
  <c r="O106" i="36"/>
  <c r="E107" i="36"/>
  <c r="O107" i="36"/>
  <c r="O108" i="36"/>
  <c r="E109" i="36"/>
  <c r="O109" i="36"/>
  <c r="E110" i="36"/>
  <c r="O110" i="36"/>
  <c r="T102" i="37"/>
  <c r="T103" i="37"/>
  <c r="T106" i="37"/>
  <c r="T107" i="37"/>
  <c r="T108" i="37"/>
  <c r="T109" i="37"/>
  <c r="T110" i="37"/>
  <c r="T8" i="37"/>
  <c r="T9" i="37"/>
  <c r="T10" i="37"/>
  <c r="T11" i="37"/>
  <c r="T12" i="37"/>
  <c r="T13" i="37"/>
  <c r="T14" i="37"/>
  <c r="T15" i="37"/>
  <c r="T16" i="37"/>
  <c r="T17" i="37"/>
  <c r="T18" i="37"/>
  <c r="T19" i="37"/>
  <c r="T20" i="37"/>
  <c r="T21" i="37"/>
  <c r="T22" i="37"/>
  <c r="T23" i="37"/>
  <c r="T24" i="37"/>
  <c r="T25" i="37"/>
  <c r="T26" i="37"/>
  <c r="T27" i="37"/>
  <c r="T28" i="37"/>
  <c r="T29" i="37"/>
  <c r="T30" i="37"/>
  <c r="T31" i="37"/>
  <c r="T32" i="37"/>
  <c r="T33" i="37"/>
  <c r="T34" i="37"/>
  <c r="T35" i="37"/>
  <c r="T36" i="37"/>
  <c r="T37" i="37"/>
  <c r="T38" i="37"/>
  <c r="T39" i="37"/>
  <c r="T40" i="37"/>
  <c r="T41" i="37"/>
  <c r="T42" i="37"/>
  <c r="T43" i="37"/>
  <c r="T44" i="37"/>
  <c r="T45" i="37"/>
  <c r="T46" i="37"/>
  <c r="T47" i="37"/>
  <c r="T48" i="37"/>
  <c r="T49" i="37"/>
  <c r="T50" i="37"/>
  <c r="T51" i="37"/>
  <c r="T52" i="37"/>
  <c r="T53" i="37"/>
  <c r="T54" i="37"/>
  <c r="T55" i="37"/>
  <c r="T56" i="37"/>
  <c r="T57" i="37"/>
  <c r="T58" i="37"/>
  <c r="T59" i="37"/>
  <c r="T60" i="37"/>
  <c r="T61" i="37"/>
  <c r="T62" i="37"/>
  <c r="T63" i="37"/>
  <c r="T64" i="37"/>
  <c r="T65" i="37"/>
  <c r="T66" i="37"/>
  <c r="T67" i="37"/>
  <c r="T68" i="37"/>
  <c r="T69" i="37"/>
  <c r="T70" i="37"/>
  <c r="T71" i="37"/>
  <c r="T72" i="37"/>
  <c r="T73" i="37"/>
  <c r="T74" i="37"/>
  <c r="T75" i="37"/>
  <c r="T76" i="37"/>
  <c r="T77" i="37"/>
  <c r="T78" i="37"/>
  <c r="T79" i="37"/>
  <c r="T80" i="37"/>
  <c r="T81" i="37"/>
  <c r="T82" i="37"/>
  <c r="T83" i="37"/>
  <c r="T84" i="37"/>
  <c r="T85" i="37"/>
  <c r="T86" i="37"/>
  <c r="T87" i="37"/>
  <c r="T88" i="37"/>
  <c r="T89" i="37"/>
  <c r="T90" i="37"/>
  <c r="T91" i="37"/>
  <c r="T92" i="37"/>
  <c r="T93" i="37"/>
  <c r="T94" i="37"/>
  <c r="T95" i="37"/>
  <c r="T96" i="37"/>
  <c r="T97" i="37"/>
  <c r="T98" i="37"/>
  <c r="T99" i="37"/>
  <c r="T100" i="37"/>
  <c r="T101" i="37"/>
  <c r="K108" i="37"/>
  <c r="K109" i="37"/>
  <c r="K110" i="37"/>
  <c r="K102" i="37"/>
  <c r="K103" i="37"/>
  <c r="K106" i="37"/>
  <c r="K107" i="37"/>
  <c r="F109" i="37"/>
  <c r="F110" i="37"/>
  <c r="F102" i="37"/>
  <c r="P102" i="37"/>
  <c r="F103" i="37"/>
  <c r="F106" i="37"/>
  <c r="P106" i="37"/>
  <c r="F107" i="37"/>
  <c r="P107" i="37"/>
  <c r="F108" i="37"/>
  <c r="E107" i="37"/>
  <c r="O107" i="37"/>
  <c r="E108" i="37"/>
  <c r="O108" i="37"/>
  <c r="E109" i="37"/>
  <c r="O109" i="37"/>
  <c r="E110" i="37"/>
  <c r="O110" i="37"/>
  <c r="E102" i="37"/>
  <c r="S102" i="37"/>
  <c r="E103" i="37"/>
  <c r="E106" i="37"/>
  <c r="O106"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K83" i="37"/>
  <c r="K84" i="37"/>
  <c r="K85" i="37"/>
  <c r="K86" i="37"/>
  <c r="K87" i="37"/>
  <c r="K88" i="37"/>
  <c r="K89" i="37"/>
  <c r="K90" i="37"/>
  <c r="K91" i="37"/>
  <c r="K92" i="37"/>
  <c r="K93" i="37"/>
  <c r="K94" i="37"/>
  <c r="K95" i="37"/>
  <c r="K96" i="37"/>
  <c r="K97" i="37"/>
  <c r="K98" i="37"/>
  <c r="K99" i="37"/>
  <c r="K100" i="37"/>
  <c r="K101" i="37"/>
  <c r="K4" i="37"/>
  <c r="J32" i="37"/>
  <c r="L32" i="37"/>
  <c r="F5" i="37"/>
  <c r="P5" i="37"/>
  <c r="F6" i="37"/>
  <c r="P6" i="37"/>
  <c r="F7" i="37"/>
  <c r="F8" i="37"/>
  <c r="P8" i="37"/>
  <c r="F9" i="37"/>
  <c r="P9" i="37"/>
  <c r="F10" i="37"/>
  <c r="P10" i="37"/>
  <c r="F11" i="37"/>
  <c r="P11" i="37"/>
  <c r="F12" i="37"/>
  <c r="P12" i="37"/>
  <c r="F13" i="37"/>
  <c r="P13" i="37"/>
  <c r="F14" i="37"/>
  <c r="P14" i="37"/>
  <c r="F15" i="37"/>
  <c r="P15" i="37"/>
  <c r="F16" i="37"/>
  <c r="P16" i="37"/>
  <c r="F17" i="37"/>
  <c r="P17" i="37"/>
  <c r="F18" i="37"/>
  <c r="P18" i="37"/>
  <c r="F19" i="37"/>
  <c r="P19" i="37"/>
  <c r="F20" i="37"/>
  <c r="P20" i="37"/>
  <c r="F21" i="37"/>
  <c r="P21" i="37"/>
  <c r="F22" i="37"/>
  <c r="P22" i="37"/>
  <c r="F23" i="37"/>
  <c r="P23" i="37"/>
  <c r="F24" i="37"/>
  <c r="P24" i="37"/>
  <c r="F25" i="37"/>
  <c r="P25" i="37"/>
  <c r="F26" i="37"/>
  <c r="P26" i="37"/>
  <c r="F27" i="37"/>
  <c r="P27" i="37"/>
  <c r="F28" i="37"/>
  <c r="P28" i="37"/>
  <c r="F29" i="37"/>
  <c r="P29" i="37"/>
  <c r="F30" i="37"/>
  <c r="P30" i="37"/>
  <c r="F31" i="37"/>
  <c r="P31" i="37"/>
  <c r="F32" i="37"/>
  <c r="P32" i="37"/>
  <c r="F33" i="37"/>
  <c r="P33" i="37"/>
  <c r="F34" i="37"/>
  <c r="P34" i="37"/>
  <c r="F35" i="37"/>
  <c r="P35" i="37"/>
  <c r="F36" i="37"/>
  <c r="P36" i="37"/>
  <c r="F37" i="37"/>
  <c r="P37" i="37"/>
  <c r="F38" i="37"/>
  <c r="P38" i="37"/>
  <c r="F39" i="37"/>
  <c r="P39" i="37"/>
  <c r="F40" i="37"/>
  <c r="P40" i="37"/>
  <c r="F41" i="37"/>
  <c r="P41" i="37"/>
  <c r="F42" i="37"/>
  <c r="P42" i="37"/>
  <c r="F43" i="37"/>
  <c r="P43" i="37"/>
  <c r="F44" i="37"/>
  <c r="P44" i="37"/>
  <c r="F45" i="37"/>
  <c r="P45" i="37"/>
  <c r="F46" i="37"/>
  <c r="P46" i="37"/>
  <c r="F47" i="37"/>
  <c r="P47" i="37"/>
  <c r="F48" i="37"/>
  <c r="P48" i="37"/>
  <c r="F49" i="37"/>
  <c r="P49" i="37"/>
  <c r="F50" i="37"/>
  <c r="P50" i="37"/>
  <c r="F51" i="37"/>
  <c r="P51" i="37"/>
  <c r="F52" i="37"/>
  <c r="P52" i="37"/>
  <c r="F53" i="37"/>
  <c r="P53" i="37"/>
  <c r="F54" i="37"/>
  <c r="P54" i="37"/>
  <c r="F55" i="37"/>
  <c r="P55" i="37"/>
  <c r="F56" i="37"/>
  <c r="P56" i="37"/>
  <c r="F57" i="37"/>
  <c r="P57" i="37"/>
  <c r="F58" i="37"/>
  <c r="P58" i="37"/>
  <c r="F59" i="37"/>
  <c r="P59" i="37"/>
  <c r="F60" i="37"/>
  <c r="P60" i="37"/>
  <c r="F61" i="37"/>
  <c r="P61" i="37"/>
  <c r="F62" i="37"/>
  <c r="P62" i="37"/>
  <c r="F63" i="37"/>
  <c r="P63" i="37"/>
  <c r="F64" i="37"/>
  <c r="P64" i="37"/>
  <c r="F65" i="37"/>
  <c r="P65" i="37"/>
  <c r="F66" i="37"/>
  <c r="P66" i="37"/>
  <c r="F67" i="37"/>
  <c r="P67" i="37"/>
  <c r="F68" i="37"/>
  <c r="P68" i="37"/>
  <c r="F69" i="37"/>
  <c r="P69" i="37"/>
  <c r="F70" i="37"/>
  <c r="P70" i="37"/>
  <c r="F71" i="37"/>
  <c r="P71" i="37"/>
  <c r="F72" i="37"/>
  <c r="P72" i="37"/>
  <c r="F73" i="37"/>
  <c r="P73" i="37"/>
  <c r="F74" i="37"/>
  <c r="P74" i="37"/>
  <c r="F75" i="37"/>
  <c r="P75" i="37"/>
  <c r="F76" i="37"/>
  <c r="P76" i="37"/>
  <c r="F77" i="37"/>
  <c r="P77" i="37"/>
  <c r="F78" i="37"/>
  <c r="F79" i="37"/>
  <c r="P79" i="37"/>
  <c r="F80" i="37"/>
  <c r="P80" i="37"/>
  <c r="F81" i="37"/>
  <c r="P81" i="37"/>
  <c r="F82" i="37"/>
  <c r="P82" i="37"/>
  <c r="F83" i="37"/>
  <c r="P83" i="37"/>
  <c r="F84" i="37"/>
  <c r="P84" i="37"/>
  <c r="F85" i="37"/>
  <c r="P85" i="37"/>
  <c r="F86" i="37"/>
  <c r="P86" i="37"/>
  <c r="F87" i="37"/>
  <c r="P87" i="37"/>
  <c r="F88" i="37"/>
  <c r="P88" i="37"/>
  <c r="F89" i="37"/>
  <c r="P89" i="37"/>
  <c r="F90" i="37"/>
  <c r="P90" i="37"/>
  <c r="F91" i="37"/>
  <c r="P91" i="37"/>
  <c r="F92" i="37"/>
  <c r="P92" i="37"/>
  <c r="F93" i="37"/>
  <c r="P93" i="37"/>
  <c r="F94" i="37"/>
  <c r="P94" i="37"/>
  <c r="F95" i="37"/>
  <c r="P95" i="37"/>
  <c r="F96" i="37"/>
  <c r="P96" i="37"/>
  <c r="F97" i="37"/>
  <c r="P97" i="37"/>
  <c r="F98" i="37"/>
  <c r="P98" i="37"/>
  <c r="F99" i="37"/>
  <c r="P99" i="37"/>
  <c r="F100" i="37"/>
  <c r="P100" i="37"/>
  <c r="F101" i="37"/>
  <c r="P101" i="37"/>
  <c r="F4" i="37"/>
  <c r="P4" i="37"/>
  <c r="E5" i="37"/>
  <c r="O5" i="37"/>
  <c r="E6" i="37"/>
  <c r="O6" i="37"/>
  <c r="E7" i="37"/>
  <c r="E8" i="37"/>
  <c r="O8" i="37"/>
  <c r="E9" i="37"/>
  <c r="O9" i="37"/>
  <c r="E10" i="37"/>
  <c r="O10" i="37"/>
  <c r="E11" i="37"/>
  <c r="O11" i="37"/>
  <c r="E12" i="37"/>
  <c r="G12" i="37"/>
  <c r="E13" i="37"/>
  <c r="O13" i="37"/>
  <c r="E14" i="37"/>
  <c r="O14" i="37"/>
  <c r="E15" i="37"/>
  <c r="O15" i="37"/>
  <c r="E16" i="37"/>
  <c r="O16" i="37"/>
  <c r="E17" i="37"/>
  <c r="O17" i="37"/>
  <c r="E18" i="37"/>
  <c r="O18" i="37"/>
  <c r="E19" i="37"/>
  <c r="O19" i="37"/>
  <c r="E20" i="37"/>
  <c r="O20" i="37"/>
  <c r="E21" i="37"/>
  <c r="O21" i="37"/>
  <c r="E22" i="37"/>
  <c r="O22" i="37"/>
  <c r="E23" i="37"/>
  <c r="O23" i="37"/>
  <c r="E24" i="37"/>
  <c r="O24" i="37"/>
  <c r="E25" i="37"/>
  <c r="O25" i="37"/>
  <c r="E26" i="37"/>
  <c r="S26" i="37"/>
  <c r="E27" i="37"/>
  <c r="O27" i="37"/>
  <c r="E28" i="37"/>
  <c r="O28" i="37"/>
  <c r="E29" i="37"/>
  <c r="O29" i="37"/>
  <c r="E30" i="37"/>
  <c r="E31" i="37"/>
  <c r="O31" i="37"/>
  <c r="E32" i="37"/>
  <c r="O32" i="37"/>
  <c r="E33" i="37"/>
  <c r="O33" i="37"/>
  <c r="E34" i="37"/>
  <c r="O34" i="37"/>
  <c r="E35" i="37"/>
  <c r="O35" i="37"/>
  <c r="E36" i="37"/>
  <c r="O36" i="37"/>
  <c r="E37" i="37"/>
  <c r="O37" i="37"/>
  <c r="E38" i="37"/>
  <c r="E39" i="37"/>
  <c r="O39" i="37"/>
  <c r="E40" i="37"/>
  <c r="O40" i="37"/>
  <c r="E41" i="37"/>
  <c r="O41" i="37"/>
  <c r="E42" i="37"/>
  <c r="O42" i="37"/>
  <c r="E43" i="37"/>
  <c r="O43" i="37"/>
  <c r="E44" i="37"/>
  <c r="O44" i="37"/>
  <c r="E45" i="37"/>
  <c r="O45" i="37"/>
  <c r="E46" i="37"/>
  <c r="E47" i="37"/>
  <c r="O47" i="37"/>
  <c r="E48" i="37"/>
  <c r="O48" i="37"/>
  <c r="E49" i="37"/>
  <c r="O49" i="37"/>
  <c r="E50" i="37"/>
  <c r="O50" i="37"/>
  <c r="E51" i="37"/>
  <c r="O51" i="37"/>
  <c r="E52" i="37"/>
  <c r="O52" i="37"/>
  <c r="E53" i="37"/>
  <c r="O53" i="37"/>
  <c r="E54" i="37"/>
  <c r="E55" i="37"/>
  <c r="O55" i="37"/>
  <c r="E56" i="37"/>
  <c r="O56" i="37"/>
  <c r="E57" i="37"/>
  <c r="O57" i="37"/>
  <c r="E58" i="37"/>
  <c r="S58" i="37"/>
  <c r="E59" i="37"/>
  <c r="O59" i="37"/>
  <c r="E60" i="37"/>
  <c r="O60" i="37"/>
  <c r="E61" i="37"/>
  <c r="O61" i="37"/>
  <c r="E62" i="37"/>
  <c r="E63" i="37"/>
  <c r="O63" i="37"/>
  <c r="E64" i="37"/>
  <c r="O64" i="37"/>
  <c r="E65" i="37"/>
  <c r="O65" i="37"/>
  <c r="E66" i="37"/>
  <c r="O66" i="37"/>
  <c r="E67" i="37"/>
  <c r="O67" i="37"/>
  <c r="E68" i="37"/>
  <c r="O68" i="37"/>
  <c r="E69" i="37"/>
  <c r="O69" i="37"/>
  <c r="E70" i="37"/>
  <c r="E71" i="37"/>
  <c r="S71" i="37"/>
  <c r="E72" i="37"/>
  <c r="O72" i="37"/>
  <c r="E73" i="37"/>
  <c r="O73" i="37"/>
  <c r="E74" i="37"/>
  <c r="S74" i="37"/>
  <c r="E75" i="37"/>
  <c r="S75" i="37"/>
  <c r="E76" i="37"/>
  <c r="O76" i="37"/>
  <c r="E77" i="37"/>
  <c r="E78" i="37"/>
  <c r="E79" i="37"/>
  <c r="S79" i="37"/>
  <c r="E80" i="37"/>
  <c r="O80" i="37"/>
  <c r="E81" i="37"/>
  <c r="O81" i="37"/>
  <c r="E82" i="37"/>
  <c r="S82" i="37"/>
  <c r="E83" i="37"/>
  <c r="S83" i="37"/>
  <c r="E84" i="37"/>
  <c r="O84" i="37"/>
  <c r="E85" i="37"/>
  <c r="O85" i="37"/>
  <c r="E86" i="37"/>
  <c r="E87" i="37"/>
  <c r="S87" i="37"/>
  <c r="E88" i="37"/>
  <c r="O88" i="37"/>
  <c r="E89" i="37"/>
  <c r="O89" i="37"/>
  <c r="E90" i="37"/>
  <c r="S90" i="37"/>
  <c r="E91" i="37"/>
  <c r="S91" i="37"/>
  <c r="E92" i="37"/>
  <c r="O92" i="37"/>
  <c r="E93" i="37"/>
  <c r="O93" i="37"/>
  <c r="E94" i="37"/>
  <c r="E95" i="37"/>
  <c r="S95" i="37"/>
  <c r="E96" i="37"/>
  <c r="O96" i="37"/>
  <c r="E97" i="37"/>
  <c r="E98" i="37"/>
  <c r="S98" i="37"/>
  <c r="E99" i="37"/>
  <c r="S99" i="37"/>
  <c r="E100" i="37"/>
  <c r="O100" i="37"/>
  <c r="E101" i="37"/>
  <c r="S101" i="37"/>
  <c r="E4" i="37"/>
  <c r="O4" i="37"/>
  <c r="G22" i="37"/>
  <c r="T9" i="36"/>
  <c r="T10" i="36"/>
  <c r="T11" i="36"/>
  <c r="T12" i="36"/>
  <c r="T13" i="36"/>
  <c r="T14" i="36"/>
  <c r="T15" i="36"/>
  <c r="T16" i="36"/>
  <c r="T17" i="36"/>
  <c r="T18" i="36"/>
  <c r="T19" i="36"/>
  <c r="T20" i="36"/>
  <c r="T21" i="36"/>
  <c r="T22" i="36"/>
  <c r="T23" i="36"/>
  <c r="T24" i="36"/>
  <c r="T25" i="36"/>
  <c r="T26" i="36"/>
  <c r="T27" i="36"/>
  <c r="T28" i="36"/>
  <c r="T29" i="36"/>
  <c r="T30" i="36"/>
  <c r="T31" i="36"/>
  <c r="T32" i="36"/>
  <c r="T33" i="36"/>
  <c r="T34" i="36"/>
  <c r="T35" i="36"/>
  <c r="T36" i="36"/>
  <c r="T37" i="36"/>
  <c r="T38" i="36"/>
  <c r="T39" i="36"/>
  <c r="T40" i="36"/>
  <c r="T41" i="36"/>
  <c r="T42" i="36"/>
  <c r="T43" i="36"/>
  <c r="T44" i="36"/>
  <c r="T45" i="36"/>
  <c r="T46" i="36"/>
  <c r="T47" i="36"/>
  <c r="T48" i="36"/>
  <c r="T49" i="36"/>
  <c r="T50" i="36"/>
  <c r="T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91" i="36"/>
  <c r="T92" i="36"/>
  <c r="T93" i="36"/>
  <c r="T94" i="36"/>
  <c r="T95" i="36"/>
  <c r="T96" i="36"/>
  <c r="T97" i="36"/>
  <c r="T98" i="36"/>
  <c r="T99" i="36"/>
  <c r="T100" i="36"/>
  <c r="T101"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91" i="36"/>
  <c r="K92" i="36"/>
  <c r="K93" i="36"/>
  <c r="K94" i="36"/>
  <c r="K95" i="36"/>
  <c r="K96" i="36"/>
  <c r="K97" i="36"/>
  <c r="K98" i="36"/>
  <c r="K99" i="36"/>
  <c r="K100" i="36"/>
  <c r="K101" i="36"/>
  <c r="K4" i="36"/>
  <c r="J5" i="36"/>
  <c r="J9" i="36"/>
  <c r="J17" i="36"/>
  <c r="J89" i="36"/>
  <c r="J7" i="36"/>
  <c r="J11" i="36"/>
  <c r="J15" i="36"/>
  <c r="L15" i="36"/>
  <c r="J19" i="36"/>
  <c r="J27" i="36"/>
  <c r="J31" i="36"/>
  <c r="J35" i="36"/>
  <c r="J39" i="36"/>
  <c r="J51" i="36"/>
  <c r="J55" i="36"/>
  <c r="L55" i="36"/>
  <c r="J70" i="36"/>
  <c r="J74" i="36"/>
  <c r="E5" i="36"/>
  <c r="O5" i="36"/>
  <c r="E6" i="36"/>
  <c r="O6" i="36"/>
  <c r="E7" i="36"/>
  <c r="E8" i="36"/>
  <c r="O8" i="36"/>
  <c r="E9" i="36"/>
  <c r="O9" i="36"/>
  <c r="E10" i="36"/>
  <c r="O10" i="36"/>
  <c r="E11" i="36"/>
  <c r="O11" i="36"/>
  <c r="E12" i="36"/>
  <c r="O12" i="36"/>
  <c r="E13" i="36"/>
  <c r="O13" i="36"/>
  <c r="E14" i="36"/>
  <c r="O14" i="36"/>
  <c r="E15" i="36"/>
  <c r="O15" i="36"/>
  <c r="E16" i="36"/>
  <c r="O16" i="36"/>
  <c r="E17" i="36"/>
  <c r="O17" i="36"/>
  <c r="E18" i="36"/>
  <c r="O18" i="36"/>
  <c r="E19" i="36"/>
  <c r="O19" i="36"/>
  <c r="E20" i="36"/>
  <c r="O20" i="36"/>
  <c r="E21" i="36"/>
  <c r="O21" i="36"/>
  <c r="E22" i="36"/>
  <c r="O22" i="36"/>
  <c r="E23" i="36"/>
  <c r="O23" i="36"/>
  <c r="E24" i="36"/>
  <c r="O24" i="36"/>
  <c r="E25" i="36"/>
  <c r="O25" i="36"/>
  <c r="E26" i="36"/>
  <c r="O26" i="36"/>
  <c r="E27" i="36"/>
  <c r="O27" i="36"/>
  <c r="E28" i="36"/>
  <c r="O28" i="36"/>
  <c r="E29" i="36"/>
  <c r="O29" i="36"/>
  <c r="E30" i="36"/>
  <c r="O30" i="36"/>
  <c r="E31" i="36"/>
  <c r="O31" i="36"/>
  <c r="E32" i="36"/>
  <c r="O32" i="36"/>
  <c r="E33" i="36"/>
  <c r="O33" i="36"/>
  <c r="E34" i="36"/>
  <c r="O34" i="36"/>
  <c r="E35" i="36"/>
  <c r="O35" i="36"/>
  <c r="E36" i="36"/>
  <c r="O36" i="36"/>
  <c r="E37" i="36"/>
  <c r="O37" i="36"/>
  <c r="E38" i="36"/>
  <c r="O38" i="36"/>
  <c r="E39" i="36"/>
  <c r="O39" i="36"/>
  <c r="E40" i="36"/>
  <c r="O40" i="36"/>
  <c r="E41" i="36"/>
  <c r="O41" i="36"/>
  <c r="E42" i="36"/>
  <c r="O42" i="36"/>
  <c r="E43" i="36"/>
  <c r="O43" i="36"/>
  <c r="E44" i="36"/>
  <c r="O44" i="36"/>
  <c r="E45" i="36"/>
  <c r="O45" i="36"/>
  <c r="E46" i="36"/>
  <c r="O46" i="36"/>
  <c r="E47" i="36"/>
  <c r="O47" i="36"/>
  <c r="E48" i="36"/>
  <c r="O48" i="36"/>
  <c r="E49" i="36"/>
  <c r="O49" i="36"/>
  <c r="E50" i="36"/>
  <c r="O50" i="36"/>
  <c r="E51" i="36"/>
  <c r="O51" i="36"/>
  <c r="E52" i="36"/>
  <c r="O52" i="36"/>
  <c r="E53" i="36"/>
  <c r="O53" i="36"/>
  <c r="E54" i="36"/>
  <c r="O54" i="36"/>
  <c r="E55" i="36"/>
  <c r="O55" i="36"/>
  <c r="E56" i="36"/>
  <c r="O56" i="36"/>
  <c r="E57" i="36"/>
  <c r="O57" i="36"/>
  <c r="E58" i="36"/>
  <c r="O58" i="36"/>
  <c r="E59" i="36"/>
  <c r="O59" i="36"/>
  <c r="E60" i="36"/>
  <c r="O60" i="36"/>
  <c r="E61" i="36"/>
  <c r="O61" i="36"/>
  <c r="E62" i="36"/>
  <c r="O62" i="36"/>
  <c r="E63" i="36"/>
  <c r="O63" i="36"/>
  <c r="E64" i="36"/>
  <c r="O64" i="36"/>
  <c r="E65" i="36"/>
  <c r="O65" i="36"/>
  <c r="E66" i="36"/>
  <c r="O66" i="36"/>
  <c r="E67" i="36"/>
  <c r="O67" i="36"/>
  <c r="E68" i="36"/>
  <c r="O68" i="36"/>
  <c r="E69" i="36"/>
  <c r="O69" i="36"/>
  <c r="E70" i="36"/>
  <c r="O70" i="36"/>
  <c r="E71" i="36"/>
  <c r="O71" i="36"/>
  <c r="E72" i="36"/>
  <c r="O72" i="36"/>
  <c r="E73" i="36"/>
  <c r="O73" i="36"/>
  <c r="E74" i="36"/>
  <c r="O74" i="36"/>
  <c r="E75" i="36"/>
  <c r="O75" i="36"/>
  <c r="E76" i="36"/>
  <c r="O76" i="36"/>
  <c r="E77" i="36"/>
  <c r="O77" i="36"/>
  <c r="E78" i="36"/>
  <c r="E79" i="36"/>
  <c r="O79" i="36"/>
  <c r="E80" i="36"/>
  <c r="O80" i="36"/>
  <c r="E81" i="36"/>
  <c r="O81" i="36"/>
  <c r="E82" i="36"/>
  <c r="O82" i="36"/>
  <c r="E83" i="36"/>
  <c r="O83" i="36"/>
  <c r="E84" i="36"/>
  <c r="O84" i="36"/>
  <c r="E85" i="36"/>
  <c r="O85" i="36"/>
  <c r="E86" i="36"/>
  <c r="O86" i="36"/>
  <c r="E87" i="36"/>
  <c r="O87" i="36"/>
  <c r="E88" i="36"/>
  <c r="O88" i="36"/>
  <c r="E89" i="36"/>
  <c r="O89" i="36"/>
  <c r="E90" i="36"/>
  <c r="O90" i="36"/>
  <c r="E91" i="36"/>
  <c r="O91" i="36"/>
  <c r="E92" i="36"/>
  <c r="O92" i="36"/>
  <c r="E93" i="36"/>
  <c r="O93" i="36"/>
  <c r="E94" i="36"/>
  <c r="O94" i="36"/>
  <c r="E95" i="36"/>
  <c r="O95" i="36"/>
  <c r="E96" i="36"/>
  <c r="O96" i="36"/>
  <c r="E97" i="36"/>
  <c r="O97" i="36"/>
  <c r="E98" i="36"/>
  <c r="O98" i="36"/>
  <c r="E99" i="36"/>
  <c r="O99" i="36"/>
  <c r="E100" i="36"/>
  <c r="O100" i="36"/>
  <c r="E101" i="36"/>
  <c r="O101" i="36"/>
  <c r="E4" i="36"/>
  <c r="O4" i="36"/>
  <c r="F101" i="36"/>
  <c r="P101" i="36"/>
  <c r="F100" i="36"/>
  <c r="F99" i="36"/>
  <c r="P99" i="36"/>
  <c r="F98" i="36"/>
  <c r="P98" i="36"/>
  <c r="Q98" i="36"/>
  <c r="F97" i="36"/>
  <c r="P97" i="36"/>
  <c r="F96" i="36"/>
  <c r="P96" i="36"/>
  <c r="Q96" i="36"/>
  <c r="F95" i="36"/>
  <c r="P95" i="36"/>
  <c r="F94" i="36"/>
  <c r="P94" i="36"/>
  <c r="Q94" i="36"/>
  <c r="F93" i="36"/>
  <c r="P93" i="36"/>
  <c r="F92" i="36"/>
  <c r="P92" i="36"/>
  <c r="Q92" i="36"/>
  <c r="F91" i="36"/>
  <c r="P91" i="36"/>
  <c r="F90" i="36"/>
  <c r="P90" i="36"/>
  <c r="Q90" i="36"/>
  <c r="F89" i="36"/>
  <c r="P89" i="36"/>
  <c r="F88" i="36"/>
  <c r="P88" i="36"/>
  <c r="F87" i="36"/>
  <c r="P87" i="36"/>
  <c r="Q87" i="36"/>
  <c r="F86" i="36"/>
  <c r="P86" i="36"/>
  <c r="F85" i="36"/>
  <c r="P85" i="36"/>
  <c r="F84" i="36"/>
  <c r="P84" i="36"/>
  <c r="F83" i="36"/>
  <c r="P83" i="36"/>
  <c r="Q83" i="36"/>
  <c r="F82" i="36"/>
  <c r="P82" i="36"/>
  <c r="F81" i="36"/>
  <c r="P81" i="36"/>
  <c r="F80" i="36"/>
  <c r="P80" i="36"/>
  <c r="F79" i="36"/>
  <c r="P79" i="36"/>
  <c r="Q79" i="36"/>
  <c r="F78" i="36"/>
  <c r="F77" i="36"/>
  <c r="P77" i="36"/>
  <c r="F76" i="36"/>
  <c r="F75" i="36"/>
  <c r="P75" i="36"/>
  <c r="Q75" i="36"/>
  <c r="F74" i="36"/>
  <c r="P74" i="36"/>
  <c r="F73" i="36"/>
  <c r="P73" i="36"/>
  <c r="Q73" i="36"/>
  <c r="F72" i="36"/>
  <c r="P72" i="36"/>
  <c r="Q72" i="36"/>
  <c r="F71" i="36"/>
  <c r="P71" i="36"/>
  <c r="Q71" i="36"/>
  <c r="F70" i="36"/>
  <c r="P70" i="36"/>
  <c r="F69" i="36"/>
  <c r="P69" i="36"/>
  <c r="Q69" i="36"/>
  <c r="F68" i="36"/>
  <c r="P68" i="36"/>
  <c r="Q68" i="36"/>
  <c r="F67" i="36"/>
  <c r="P67" i="36"/>
  <c r="Q67" i="36"/>
  <c r="F66" i="36"/>
  <c r="P66" i="36"/>
  <c r="F65" i="36"/>
  <c r="P65" i="36"/>
  <c r="Q65" i="36"/>
  <c r="F64" i="36"/>
  <c r="P64" i="36"/>
  <c r="Q64" i="36"/>
  <c r="F63" i="36"/>
  <c r="P63" i="36"/>
  <c r="Q63" i="36"/>
  <c r="F62" i="36"/>
  <c r="P62" i="36"/>
  <c r="F61" i="36"/>
  <c r="P61" i="36"/>
  <c r="Q61" i="36"/>
  <c r="F60" i="36"/>
  <c r="P60" i="36"/>
  <c r="Q60" i="36"/>
  <c r="F59" i="36"/>
  <c r="P59" i="36"/>
  <c r="Q59" i="36"/>
  <c r="F58" i="36"/>
  <c r="P58" i="36"/>
  <c r="F57" i="36"/>
  <c r="P57" i="36"/>
  <c r="Q57" i="36"/>
  <c r="F56" i="36"/>
  <c r="P56" i="36"/>
  <c r="Q56" i="36"/>
  <c r="F55" i="36"/>
  <c r="P55" i="36"/>
  <c r="Q55" i="36"/>
  <c r="F54" i="36"/>
  <c r="P54" i="36"/>
  <c r="F53" i="36"/>
  <c r="P53" i="36"/>
  <c r="Q53" i="36"/>
  <c r="F52" i="36"/>
  <c r="P52" i="36"/>
  <c r="Q52" i="36"/>
  <c r="F51" i="36"/>
  <c r="P51" i="36"/>
  <c r="F50" i="36"/>
  <c r="P50" i="36"/>
  <c r="Q50" i="36"/>
  <c r="F49" i="36"/>
  <c r="P49" i="36"/>
  <c r="F48" i="36"/>
  <c r="P48" i="36"/>
  <c r="Q48" i="36"/>
  <c r="F47" i="36"/>
  <c r="P47" i="36"/>
  <c r="F46" i="36"/>
  <c r="P46" i="36"/>
  <c r="Q46" i="36"/>
  <c r="F45" i="36"/>
  <c r="P45" i="36"/>
  <c r="F44" i="36"/>
  <c r="P44" i="36"/>
  <c r="Q44" i="36"/>
  <c r="F43" i="36"/>
  <c r="P43" i="36"/>
  <c r="F42" i="36"/>
  <c r="P42" i="36"/>
  <c r="Q42" i="36"/>
  <c r="F41" i="36"/>
  <c r="P41" i="36"/>
  <c r="F40" i="36"/>
  <c r="P40" i="36"/>
  <c r="Q40" i="36"/>
  <c r="F39" i="36"/>
  <c r="P39" i="36"/>
  <c r="Q39" i="36"/>
  <c r="F38" i="36"/>
  <c r="P38" i="36"/>
  <c r="Q38" i="36"/>
  <c r="F37" i="36"/>
  <c r="F36" i="36"/>
  <c r="P36" i="36"/>
  <c r="Q36" i="36"/>
  <c r="F35" i="36"/>
  <c r="P35" i="36"/>
  <c r="Q35" i="36"/>
  <c r="F34" i="36"/>
  <c r="P34" i="36"/>
  <c r="Q34" i="36"/>
  <c r="F33" i="36"/>
  <c r="P33" i="36"/>
  <c r="F32" i="36"/>
  <c r="P32" i="36"/>
  <c r="Q32" i="36"/>
  <c r="F31" i="36"/>
  <c r="P31" i="36"/>
  <c r="Q31" i="36"/>
  <c r="F30" i="36"/>
  <c r="P30" i="36"/>
  <c r="F29" i="36"/>
  <c r="F28" i="36"/>
  <c r="P28" i="36"/>
  <c r="Q28" i="36"/>
  <c r="F27" i="36"/>
  <c r="P27" i="36"/>
  <c r="Q27" i="36"/>
  <c r="F26" i="36"/>
  <c r="P26" i="36"/>
  <c r="F25" i="36"/>
  <c r="P25" i="36"/>
  <c r="J24" i="36"/>
  <c r="F24" i="36"/>
  <c r="P24" i="36"/>
  <c r="Q24" i="36"/>
  <c r="F23" i="36"/>
  <c r="P23" i="36"/>
  <c r="Q23" i="36"/>
  <c r="F22" i="36"/>
  <c r="P22" i="36"/>
  <c r="F21" i="36"/>
  <c r="P21" i="36"/>
  <c r="Q21" i="36"/>
  <c r="F20" i="36"/>
  <c r="P20" i="36"/>
  <c r="Q20" i="36"/>
  <c r="F19" i="36"/>
  <c r="P19" i="36"/>
  <c r="Q19" i="36"/>
  <c r="F18" i="36"/>
  <c r="P18" i="36"/>
  <c r="F17" i="36"/>
  <c r="P17" i="36"/>
  <c r="Q17" i="36"/>
  <c r="F16" i="36"/>
  <c r="P16" i="36"/>
  <c r="Q16" i="36"/>
  <c r="F15" i="36"/>
  <c r="P15" i="36"/>
  <c r="Q15" i="36"/>
  <c r="F14" i="36"/>
  <c r="P14" i="36"/>
  <c r="J13" i="36"/>
  <c r="F13" i="36"/>
  <c r="P13" i="36"/>
  <c r="F12" i="36"/>
  <c r="P12" i="36"/>
  <c r="Q12" i="36"/>
  <c r="F11" i="36"/>
  <c r="P11" i="36"/>
  <c r="Q11" i="36"/>
  <c r="F10" i="36"/>
  <c r="P10" i="36"/>
  <c r="Q10" i="36"/>
  <c r="F9" i="36"/>
  <c r="P9" i="36"/>
  <c r="F8" i="36"/>
  <c r="P8" i="36"/>
  <c r="Q8" i="36"/>
  <c r="F7" i="36"/>
  <c r="F6" i="36"/>
  <c r="P6" i="36"/>
  <c r="F5" i="36"/>
  <c r="P5" i="36"/>
  <c r="Q5" i="36"/>
  <c r="P4" i="36"/>
  <c r="K104" i="35"/>
  <c r="K105" i="35"/>
  <c r="K106" i="35"/>
  <c r="K107" i="35"/>
  <c r="K108" i="35"/>
  <c r="K109" i="35"/>
  <c r="K4" i="35"/>
  <c r="J107" i="35"/>
  <c r="L107" i="35"/>
  <c r="E107" i="35"/>
  <c r="M107" i="35"/>
  <c r="J4" i="35"/>
  <c r="P93" i="35"/>
  <c r="P94" i="35"/>
  <c r="P95" i="35"/>
  <c r="P96" i="35"/>
  <c r="P97" i="35"/>
  <c r="P98" i="35"/>
  <c r="P99" i="35"/>
  <c r="P100" i="35"/>
  <c r="P101" i="35"/>
  <c r="F104" i="35"/>
  <c r="P104" i="35"/>
  <c r="F105" i="35"/>
  <c r="P105" i="35"/>
  <c r="F106" i="35"/>
  <c r="P106" i="35"/>
  <c r="F107" i="35"/>
  <c r="P107" i="35"/>
  <c r="F108" i="35"/>
  <c r="F109" i="35"/>
  <c r="P109" i="35"/>
  <c r="O107" i="35"/>
  <c r="E108" i="35"/>
  <c r="E109" i="35"/>
  <c r="E104" i="35"/>
  <c r="E105" i="35"/>
  <c r="O105" i="35"/>
  <c r="E106" i="35"/>
  <c r="P5" i="35"/>
  <c r="P7" i="35"/>
  <c r="P8" i="35"/>
  <c r="P9" i="35"/>
  <c r="P11" i="35"/>
  <c r="P12" i="35"/>
  <c r="P13" i="35"/>
  <c r="P15" i="35"/>
  <c r="P16" i="35"/>
  <c r="P17" i="35"/>
  <c r="P19" i="35"/>
  <c r="P20" i="35"/>
  <c r="P21" i="35"/>
  <c r="P23" i="35"/>
  <c r="P24" i="35"/>
  <c r="P25" i="35"/>
  <c r="P27" i="35"/>
  <c r="P28" i="35"/>
  <c r="P29" i="35"/>
  <c r="P31" i="35"/>
  <c r="P32" i="35"/>
  <c r="P33" i="35"/>
  <c r="P35" i="35"/>
  <c r="P36" i="35"/>
  <c r="P37" i="35"/>
  <c r="P39" i="35"/>
  <c r="P40" i="35"/>
  <c r="P41" i="35"/>
  <c r="P43" i="35"/>
  <c r="P44" i="35"/>
  <c r="P45" i="35"/>
  <c r="P47" i="35"/>
  <c r="P48" i="35"/>
  <c r="P49" i="35"/>
  <c r="P51" i="35"/>
  <c r="P52" i="35"/>
  <c r="P53" i="35"/>
  <c r="P55" i="35"/>
  <c r="P56" i="35"/>
  <c r="P57" i="35"/>
  <c r="P59" i="35"/>
  <c r="P60" i="35"/>
  <c r="P61" i="35"/>
  <c r="P63" i="35"/>
  <c r="P64" i="35"/>
  <c r="P65" i="35"/>
  <c r="P67" i="35"/>
  <c r="P68" i="35"/>
  <c r="P69" i="35"/>
  <c r="P71" i="35"/>
  <c r="P72" i="35"/>
  <c r="P73" i="35"/>
  <c r="P75" i="35"/>
  <c r="P76" i="35"/>
  <c r="P77" i="35"/>
  <c r="P79" i="35"/>
  <c r="P80" i="35"/>
  <c r="P81" i="35"/>
  <c r="P83" i="35"/>
  <c r="P84" i="35"/>
  <c r="P85" i="35"/>
  <c r="P87" i="35"/>
  <c r="P88" i="35"/>
  <c r="P89" i="35"/>
  <c r="P91" i="35"/>
  <c r="P92" i="35"/>
  <c r="F4" i="35"/>
  <c r="P4" i="35"/>
  <c r="O9" i="35"/>
  <c r="O41" i="35"/>
  <c r="O51" i="35"/>
  <c r="O77" i="35"/>
  <c r="O78" i="35"/>
  <c r="O82" i="35"/>
  <c r="E4" i="35"/>
  <c r="E115" i="37"/>
  <c r="U32" i="37"/>
  <c r="V32" i="37"/>
  <c r="P7" i="36"/>
  <c r="Q7" i="36"/>
  <c r="F114" i="36"/>
  <c r="O7" i="36"/>
  <c r="E114" i="36"/>
  <c r="G114" i="36"/>
  <c r="U15" i="36"/>
  <c r="V15" i="36"/>
  <c r="O77" i="37"/>
  <c r="P7" i="37"/>
  <c r="F114" i="37"/>
  <c r="Q109" i="36"/>
  <c r="Q103" i="36"/>
  <c r="P78" i="36"/>
  <c r="F115" i="36"/>
  <c r="O78" i="36"/>
  <c r="E115" i="36"/>
  <c r="O115" i="36"/>
  <c r="U55" i="36"/>
  <c r="V55" i="36"/>
  <c r="P78" i="37"/>
  <c r="F115" i="37"/>
  <c r="O115" i="37"/>
  <c r="O7" i="37"/>
  <c r="E114" i="37"/>
  <c r="O114" i="37"/>
  <c r="M107" i="38"/>
  <c r="U107" i="38"/>
  <c r="V107" i="38"/>
  <c r="M97" i="38"/>
  <c r="V97" i="38"/>
  <c r="M89" i="38"/>
  <c r="V89" i="38"/>
  <c r="M81" i="38"/>
  <c r="V81" i="38"/>
  <c r="M73" i="38"/>
  <c r="V73" i="38"/>
  <c r="M65" i="38"/>
  <c r="V65" i="38"/>
  <c r="M57" i="38"/>
  <c r="V57" i="38"/>
  <c r="M49" i="38"/>
  <c r="V49" i="38"/>
  <c r="M41" i="38"/>
  <c r="V41" i="38"/>
  <c r="M33" i="38"/>
  <c r="V33" i="38"/>
  <c r="M25" i="38"/>
  <c r="V25" i="38"/>
  <c r="M17" i="38"/>
  <c r="V17" i="38"/>
  <c r="M9" i="38"/>
  <c r="V9" i="38"/>
  <c r="M101" i="38"/>
  <c r="V101" i="38"/>
  <c r="M93" i="38"/>
  <c r="V93" i="38"/>
  <c r="M85" i="38"/>
  <c r="V85" i="38"/>
  <c r="M77" i="38"/>
  <c r="V77" i="38"/>
  <c r="M69" i="38"/>
  <c r="V69" i="38"/>
  <c r="M61" i="38"/>
  <c r="V61" i="38"/>
  <c r="M53" i="38"/>
  <c r="V53" i="38"/>
  <c r="M45" i="38"/>
  <c r="V45" i="38"/>
  <c r="M37" i="38"/>
  <c r="V37" i="38"/>
  <c r="M29" i="38"/>
  <c r="V29" i="38"/>
  <c r="M21" i="38"/>
  <c r="V21" i="38"/>
  <c r="M13" i="38"/>
  <c r="V13" i="38"/>
  <c r="M5" i="38"/>
  <c r="U5" i="38"/>
  <c r="V5" i="38"/>
  <c r="M108" i="36"/>
  <c r="U108" i="36"/>
  <c r="V108" i="36"/>
  <c r="M102" i="36"/>
  <c r="U102" i="36"/>
  <c r="V102" i="36"/>
  <c r="G100" i="38"/>
  <c r="P100" i="38"/>
  <c r="G88" i="38"/>
  <c r="P88" i="38"/>
  <c r="G76" i="38"/>
  <c r="P76" i="38"/>
  <c r="G64" i="38"/>
  <c r="P64" i="38"/>
  <c r="G52" i="38"/>
  <c r="P52" i="38"/>
  <c r="G40" i="38"/>
  <c r="P40" i="38"/>
  <c r="G28" i="38"/>
  <c r="P28" i="38"/>
  <c r="G16" i="38"/>
  <c r="P16" i="38"/>
  <c r="S67" i="38"/>
  <c r="S71" i="38"/>
  <c r="S75" i="38"/>
  <c r="G107" i="38"/>
  <c r="P107" i="38"/>
  <c r="G101" i="38"/>
  <c r="P101" i="38"/>
  <c r="G97" i="38"/>
  <c r="P97" i="38"/>
  <c r="G93" i="38"/>
  <c r="P93" i="38"/>
  <c r="G89" i="38"/>
  <c r="P89" i="38"/>
  <c r="G85" i="38"/>
  <c r="P85" i="38"/>
  <c r="Q85" i="38"/>
  <c r="G81" i="38"/>
  <c r="P81" i="38"/>
  <c r="G77" i="38"/>
  <c r="P77" i="38"/>
  <c r="G73" i="38"/>
  <c r="P73" i="38"/>
  <c r="G69" i="38"/>
  <c r="P69" i="38"/>
  <c r="G65" i="38"/>
  <c r="P65" i="38"/>
  <c r="G61" i="38"/>
  <c r="P61" i="38"/>
  <c r="G57" i="38"/>
  <c r="P57" i="38"/>
  <c r="Q57" i="38"/>
  <c r="G53" i="38"/>
  <c r="P53" i="38"/>
  <c r="Q53" i="38"/>
  <c r="G49" i="38"/>
  <c r="P49" i="38"/>
  <c r="G45" i="38"/>
  <c r="P45" i="38"/>
  <c r="G41" i="38"/>
  <c r="P41" i="38"/>
  <c r="G37" i="38"/>
  <c r="P37" i="38"/>
  <c r="G33" i="38"/>
  <c r="P33" i="38"/>
  <c r="G29" i="38"/>
  <c r="P29" i="38"/>
  <c r="G25" i="38"/>
  <c r="P25" i="38"/>
  <c r="G21" i="38"/>
  <c r="P21" i="38"/>
  <c r="G17" i="38"/>
  <c r="P17" i="38"/>
  <c r="G13" i="38"/>
  <c r="P13" i="38"/>
  <c r="Q13" i="38"/>
  <c r="G9" i="38"/>
  <c r="P9" i="38"/>
  <c r="G5" i="38"/>
  <c r="P5" i="38"/>
  <c r="Q5" i="38"/>
  <c r="J108" i="38"/>
  <c r="L108" i="38"/>
  <c r="J6" i="38"/>
  <c r="L6" i="38"/>
  <c r="S110" i="38"/>
  <c r="G110" i="38"/>
  <c r="P110" i="38"/>
  <c r="G96" i="38"/>
  <c r="P96" i="38"/>
  <c r="G84" i="38"/>
  <c r="P84" i="38"/>
  <c r="G72" i="38"/>
  <c r="P72" i="38"/>
  <c r="G60" i="38"/>
  <c r="P60" i="38"/>
  <c r="G44" i="38"/>
  <c r="P44" i="38"/>
  <c r="Q44" i="38"/>
  <c r="G24" i="38"/>
  <c r="P24" i="38"/>
  <c r="S14" i="38"/>
  <c r="G109" i="38"/>
  <c r="P109" i="38"/>
  <c r="Q109" i="38"/>
  <c r="G103" i="38"/>
  <c r="P103" i="38"/>
  <c r="G99" i="38"/>
  <c r="P99" i="38"/>
  <c r="G95" i="38"/>
  <c r="P95" i="38"/>
  <c r="G91" i="38"/>
  <c r="P91" i="38"/>
  <c r="G87" i="38"/>
  <c r="P87" i="38"/>
  <c r="G83" i="38"/>
  <c r="P83" i="38"/>
  <c r="G79" i="38"/>
  <c r="P79" i="38"/>
  <c r="G75" i="38"/>
  <c r="P75" i="38"/>
  <c r="G71" i="38"/>
  <c r="P71" i="38"/>
  <c r="G67" i="38"/>
  <c r="P67" i="38"/>
  <c r="G63" i="38"/>
  <c r="P63" i="38"/>
  <c r="G59" i="38"/>
  <c r="P59" i="38"/>
  <c r="G55" i="38"/>
  <c r="P55" i="38"/>
  <c r="G51" i="38"/>
  <c r="P51" i="38"/>
  <c r="G47" i="38"/>
  <c r="P47" i="38"/>
  <c r="G43" i="38"/>
  <c r="P43" i="38"/>
  <c r="G39" i="38"/>
  <c r="P39" i="38"/>
  <c r="G35" i="38"/>
  <c r="P35" i="38"/>
  <c r="G31" i="38"/>
  <c r="P31" i="38"/>
  <c r="G27" i="38"/>
  <c r="P27" i="38"/>
  <c r="G23" i="38"/>
  <c r="P23" i="38"/>
  <c r="G19" i="38"/>
  <c r="P19" i="38"/>
  <c r="G15" i="38"/>
  <c r="P15" i="38"/>
  <c r="G11" i="38"/>
  <c r="P11" i="38"/>
  <c r="G7" i="38"/>
  <c r="P7" i="38"/>
  <c r="Q7" i="38"/>
  <c r="G106" i="38"/>
  <c r="P106" i="38"/>
  <c r="G92" i="38"/>
  <c r="P92" i="38"/>
  <c r="G80" i="38"/>
  <c r="P80" i="38"/>
  <c r="Q80" i="38"/>
  <c r="G68" i="38"/>
  <c r="P68" i="38"/>
  <c r="G56" i="38"/>
  <c r="P56" i="38"/>
  <c r="G48" i="38"/>
  <c r="P48" i="38"/>
  <c r="G36" i="38"/>
  <c r="P36" i="38"/>
  <c r="G32" i="38"/>
  <c r="P32" i="38"/>
  <c r="G20" i="38"/>
  <c r="P20" i="38"/>
  <c r="Q20" i="38"/>
  <c r="G12" i="38"/>
  <c r="P12" i="38"/>
  <c r="G8" i="38"/>
  <c r="P8" i="38"/>
  <c r="Q8" i="38"/>
  <c r="G108" i="38"/>
  <c r="P108" i="38"/>
  <c r="G102" i="38"/>
  <c r="P102" i="38"/>
  <c r="G98" i="38"/>
  <c r="P98" i="38"/>
  <c r="G94" i="38"/>
  <c r="P94" i="38"/>
  <c r="G90" i="38"/>
  <c r="P90" i="38"/>
  <c r="G86" i="38"/>
  <c r="P86" i="38"/>
  <c r="G82" i="38"/>
  <c r="P82" i="38"/>
  <c r="G78" i="38"/>
  <c r="P78" i="38"/>
  <c r="Q78" i="38"/>
  <c r="G74" i="38"/>
  <c r="P74" i="38"/>
  <c r="Q74" i="38"/>
  <c r="G70" i="38"/>
  <c r="P70" i="38"/>
  <c r="Q70" i="38"/>
  <c r="G66" i="38"/>
  <c r="P66" i="38"/>
  <c r="G62" i="38"/>
  <c r="P62" i="38"/>
  <c r="Q62" i="38"/>
  <c r="G58" i="38"/>
  <c r="P58" i="38"/>
  <c r="G54" i="38"/>
  <c r="P54" i="38"/>
  <c r="G50" i="38"/>
  <c r="P50" i="38"/>
  <c r="G46" i="38"/>
  <c r="P46" i="38"/>
  <c r="G42" i="38"/>
  <c r="P42" i="38"/>
  <c r="G38" i="38"/>
  <c r="P38" i="38"/>
  <c r="G34" i="38"/>
  <c r="P34" i="38"/>
  <c r="Q34" i="38"/>
  <c r="G30" i="38"/>
  <c r="P30" i="38"/>
  <c r="G26" i="38"/>
  <c r="P26" i="38"/>
  <c r="G22" i="38"/>
  <c r="P22" i="38"/>
  <c r="Q22" i="38"/>
  <c r="G18" i="38"/>
  <c r="P18" i="38"/>
  <c r="G14" i="38"/>
  <c r="P14" i="38"/>
  <c r="G10" i="38"/>
  <c r="P10" i="38"/>
  <c r="G6" i="38"/>
  <c r="P6" i="38"/>
  <c r="Q6" i="38"/>
  <c r="L109" i="38"/>
  <c r="J110" i="38"/>
  <c r="L110" i="38"/>
  <c r="J106" i="38"/>
  <c r="L106" i="38"/>
  <c r="G110" i="37"/>
  <c r="P110" i="37"/>
  <c r="G38" i="37"/>
  <c r="G109" i="37"/>
  <c r="P109" i="37"/>
  <c r="G103" i="37"/>
  <c r="P103" i="37"/>
  <c r="G108" i="37"/>
  <c r="P108" i="37"/>
  <c r="Q14" i="36"/>
  <c r="Q9" i="36"/>
  <c r="Q18" i="36"/>
  <c r="Q22" i="36"/>
  <c r="Q25" i="36"/>
  <c r="G29" i="36"/>
  <c r="Q74" i="36"/>
  <c r="Q77" i="36"/>
  <c r="Q81" i="36"/>
  <c r="Q85" i="36"/>
  <c r="Q89" i="36"/>
  <c r="J97" i="36"/>
  <c r="L97" i="36"/>
  <c r="Q4" i="36"/>
  <c r="Q6" i="36"/>
  <c r="Q13" i="36"/>
  <c r="Q26" i="36"/>
  <c r="Q30" i="36"/>
  <c r="Q33" i="36"/>
  <c r="G37" i="36"/>
  <c r="Q41" i="36"/>
  <c r="Q45" i="36"/>
  <c r="Q49" i="36"/>
  <c r="Q78" i="36"/>
  <c r="Q82" i="36"/>
  <c r="Q86" i="36"/>
  <c r="Q93" i="36"/>
  <c r="Q97" i="36"/>
  <c r="Q101" i="36"/>
  <c r="L103" i="36"/>
  <c r="O35" i="35"/>
  <c r="O15" i="35"/>
  <c r="O11" i="35"/>
  <c r="O93" i="35"/>
  <c r="Q107" i="35"/>
  <c r="O34" i="35"/>
  <c r="O95" i="35"/>
  <c r="O54" i="35"/>
  <c r="O83" i="35"/>
  <c r="O23" i="35"/>
  <c r="O67" i="35"/>
  <c r="O74" i="35"/>
  <c r="O27" i="35"/>
  <c r="O57" i="35"/>
  <c r="O7" i="35"/>
  <c r="O99" i="35"/>
  <c r="O84" i="35"/>
  <c r="O72" i="35"/>
  <c r="O64" i="35"/>
  <c r="O56" i="35"/>
  <c r="O48" i="35"/>
  <c r="O44" i="35"/>
  <c r="O36" i="35"/>
  <c r="O28" i="35"/>
  <c r="O20" i="35"/>
  <c r="O12" i="35"/>
  <c r="O30" i="35"/>
  <c r="O22" i="35"/>
  <c r="O18" i="35"/>
  <c r="O10" i="35"/>
  <c r="G90" i="35"/>
  <c r="P90" i="35"/>
  <c r="G86" i="35"/>
  <c r="P86" i="35"/>
  <c r="G82" i="35"/>
  <c r="P82" i="35"/>
  <c r="G78" i="35"/>
  <c r="P78" i="35"/>
  <c r="G74" i="35"/>
  <c r="P74" i="35"/>
  <c r="G70" i="35"/>
  <c r="P70" i="35"/>
  <c r="G66" i="35"/>
  <c r="P66" i="35"/>
  <c r="G62" i="35"/>
  <c r="P62" i="35"/>
  <c r="G58" i="35"/>
  <c r="P58" i="35"/>
  <c r="G54" i="35"/>
  <c r="P54" i="35"/>
  <c r="G50" i="35"/>
  <c r="P50" i="35"/>
  <c r="G46" i="35"/>
  <c r="P46" i="35"/>
  <c r="G42" i="35"/>
  <c r="P42" i="35"/>
  <c r="G38" i="35"/>
  <c r="P38" i="35"/>
  <c r="G34" i="35"/>
  <c r="P34" i="35"/>
  <c r="G30" i="35"/>
  <c r="P30" i="35"/>
  <c r="G26" i="35"/>
  <c r="P26" i="35"/>
  <c r="G22" i="35"/>
  <c r="P22" i="35"/>
  <c r="G18" i="35"/>
  <c r="P18" i="35"/>
  <c r="G14" i="35"/>
  <c r="P14" i="35"/>
  <c r="G10" i="35"/>
  <c r="P10" i="35"/>
  <c r="G6" i="35"/>
  <c r="P6" i="35"/>
  <c r="U107" i="35"/>
  <c r="V107" i="35"/>
  <c r="G108" i="35"/>
  <c r="P108" i="35"/>
  <c r="Q108" i="35"/>
  <c r="Q104" i="35"/>
  <c r="J105" i="35"/>
  <c r="L105" i="35"/>
  <c r="M105" i="35"/>
  <c r="M87" i="35"/>
  <c r="M83" i="35"/>
  <c r="V71" i="35"/>
  <c r="M47" i="35"/>
  <c r="V39" i="35"/>
  <c r="M35" i="35"/>
  <c r="V31" i="35"/>
  <c r="V23" i="35"/>
  <c r="V19" i="35"/>
  <c r="M15" i="35"/>
  <c r="O73" i="35"/>
  <c r="O38" i="35"/>
  <c r="O5" i="35"/>
  <c r="O21" i="35"/>
  <c r="O37" i="35"/>
  <c r="O53" i="35"/>
  <c r="O69" i="35"/>
  <c r="O89" i="35"/>
  <c r="O66" i="35"/>
  <c r="O104" i="35"/>
  <c r="O39" i="35"/>
  <c r="O63" i="35"/>
  <c r="O79" i="35"/>
  <c r="O88" i="35"/>
  <c r="S106" i="35"/>
  <c r="O106" i="35"/>
  <c r="O100" i="35"/>
  <c r="O96" i="35"/>
  <c r="S109" i="35"/>
  <c r="Q106" i="35"/>
  <c r="O42" i="35"/>
  <c r="O94" i="35"/>
  <c r="O70" i="35"/>
  <c r="O43" i="35"/>
  <c r="O13" i="35"/>
  <c r="O29" i="35"/>
  <c r="O45" i="35"/>
  <c r="O61" i="35"/>
  <c r="O81" i="35"/>
  <c r="O97" i="35"/>
  <c r="O50" i="35"/>
  <c r="O86" i="35"/>
  <c r="O19" i="35"/>
  <c r="O55" i="35"/>
  <c r="O71" i="35"/>
  <c r="O87" i="35"/>
  <c r="O92" i="35"/>
  <c r="O80" i="35"/>
  <c r="O76" i="35"/>
  <c r="O68" i="35"/>
  <c r="O60" i="35"/>
  <c r="O52" i="35"/>
  <c r="O40" i="35"/>
  <c r="O32" i="35"/>
  <c r="O24" i="35"/>
  <c r="O16" i="35"/>
  <c r="O8" i="35"/>
  <c r="O26" i="35"/>
  <c r="O14" i="35"/>
  <c r="O6" i="35"/>
  <c r="Q109" i="35"/>
  <c r="Q105" i="35"/>
  <c r="O58" i="35"/>
  <c r="O108" i="35"/>
  <c r="O47" i="35"/>
  <c r="O90" i="35"/>
  <c r="O4" i="35"/>
  <c r="O17" i="35"/>
  <c r="O33" i="35"/>
  <c r="O49" i="35"/>
  <c r="O65" i="35"/>
  <c r="O85" i="35"/>
  <c r="O101" i="35"/>
  <c r="O62" i="35"/>
  <c r="O98" i="35"/>
  <c r="O31" i="35"/>
  <c r="O59" i="35"/>
  <c r="O75" i="35"/>
  <c r="O91" i="35"/>
  <c r="O109" i="35"/>
  <c r="S109" i="38"/>
  <c r="S103" i="38"/>
  <c r="S108" i="38"/>
  <c r="S107" i="38"/>
  <c r="Q107" i="38"/>
  <c r="S106" i="38"/>
  <c r="G49" i="37"/>
  <c r="S103" i="37"/>
  <c r="O79" i="37"/>
  <c r="G102" i="37"/>
  <c r="O95" i="37"/>
  <c r="G26" i="37"/>
  <c r="G10" i="37"/>
  <c r="G6" i="37"/>
  <c r="M32" i="37"/>
  <c r="J30" i="37"/>
  <c r="J107" i="37"/>
  <c r="L107" i="37"/>
  <c r="G8" i="37"/>
  <c r="G28" i="37"/>
  <c r="S94" i="37"/>
  <c r="O94" i="37"/>
  <c r="S86" i="37"/>
  <c r="O86" i="37"/>
  <c r="S78" i="37"/>
  <c r="O78" i="37"/>
  <c r="S70" i="37"/>
  <c r="O70" i="37"/>
  <c r="S62" i="37"/>
  <c r="O62" i="37"/>
  <c r="S54" i="37"/>
  <c r="O54" i="37"/>
  <c r="S46" i="37"/>
  <c r="O46" i="37"/>
  <c r="S38" i="37"/>
  <c r="O38" i="37"/>
  <c r="S30" i="37"/>
  <c r="O30" i="37"/>
  <c r="J100" i="37"/>
  <c r="L100" i="37"/>
  <c r="J88" i="37"/>
  <c r="L88" i="37"/>
  <c r="J84" i="37"/>
  <c r="L84" i="37"/>
  <c r="S97" i="37"/>
  <c r="O97" i="37"/>
  <c r="O101" i="37"/>
  <c r="O75" i="37"/>
  <c r="O91" i="37"/>
  <c r="O74" i="37"/>
  <c r="O102" i="37"/>
  <c r="L30" i="37"/>
  <c r="O82" i="37"/>
  <c r="G57" i="37"/>
  <c r="S67" i="37"/>
  <c r="S59" i="37"/>
  <c r="S31" i="37"/>
  <c r="O83" i="37"/>
  <c r="O99" i="37"/>
  <c r="O12" i="37"/>
  <c r="O26" i="37"/>
  <c r="O58" i="37"/>
  <c r="O90" i="37"/>
  <c r="S42" i="37"/>
  <c r="S22" i="37"/>
  <c r="S14" i="37"/>
  <c r="O71" i="37"/>
  <c r="O87" i="37"/>
  <c r="O103" i="37"/>
  <c r="O98" i="37"/>
  <c r="Q43" i="36"/>
  <c r="Q47" i="36"/>
  <c r="Q51" i="36"/>
  <c r="Q54" i="36"/>
  <c r="Q58" i="36"/>
  <c r="Q62" i="36"/>
  <c r="Q66" i="36"/>
  <c r="Q70" i="36"/>
  <c r="G76" i="36"/>
  <c r="P76" i="36"/>
  <c r="Q76" i="36"/>
  <c r="Q80" i="36"/>
  <c r="Q84" i="36"/>
  <c r="Q88" i="36"/>
  <c r="Q91" i="36"/>
  <c r="Q95" i="36"/>
  <c r="Q99" i="36"/>
  <c r="Q102" i="36"/>
  <c r="J107" i="36"/>
  <c r="L107" i="36"/>
  <c r="J110" i="36"/>
  <c r="L110" i="36"/>
  <c r="J106" i="36"/>
  <c r="L106" i="36"/>
  <c r="P29" i="36"/>
  <c r="Q29" i="36"/>
  <c r="G100" i="36"/>
  <c r="P100" i="36"/>
  <c r="Q100" i="36"/>
  <c r="G107" i="36"/>
  <c r="P107" i="36"/>
  <c r="Q107" i="36"/>
  <c r="Q110" i="36"/>
  <c r="Q106" i="36"/>
  <c r="P37" i="36"/>
  <c r="Q37" i="36"/>
  <c r="M55" i="36"/>
  <c r="M15" i="36"/>
  <c r="L109" i="36"/>
  <c r="L13" i="36"/>
  <c r="G53" i="36"/>
  <c r="S101" i="36"/>
  <c r="S97" i="36"/>
  <c r="S93" i="36"/>
  <c r="S89" i="36"/>
  <c r="S85" i="36"/>
  <c r="S81" i="36"/>
  <c r="S77" i="36"/>
  <c r="S73" i="36"/>
  <c r="S69" i="36"/>
  <c r="S65" i="36"/>
  <c r="S61" i="36"/>
  <c r="S57" i="36"/>
  <c r="S53" i="36"/>
  <c r="S49" i="36"/>
  <c r="S45" i="36"/>
  <c r="S41" i="36"/>
  <c r="S37" i="36"/>
  <c r="S33" i="36"/>
  <c r="S29" i="36"/>
  <c r="S25" i="36"/>
  <c r="S21" i="36"/>
  <c r="S17" i="36"/>
  <c r="S13" i="36"/>
  <c r="S9" i="36"/>
  <c r="S103" i="36"/>
  <c r="S106" i="36"/>
  <c r="S7" i="36"/>
  <c r="L17" i="36"/>
  <c r="L24" i="36"/>
  <c r="L31" i="36"/>
  <c r="L39" i="36"/>
  <c r="L35" i="36"/>
  <c r="L27" i="36"/>
  <c r="L19" i="36"/>
  <c r="L11" i="36"/>
  <c r="L7" i="36"/>
  <c r="S100" i="36"/>
  <c r="S96" i="36"/>
  <c r="S92" i="36"/>
  <c r="S88" i="36"/>
  <c r="S84" i="36"/>
  <c r="S80" i="36"/>
  <c r="S76" i="36"/>
  <c r="S72" i="36"/>
  <c r="S68" i="36"/>
  <c r="S64" i="36"/>
  <c r="S60" i="36"/>
  <c r="S56" i="36"/>
  <c r="S52" i="36"/>
  <c r="S48" i="36"/>
  <c r="S44" i="36"/>
  <c r="S40" i="36"/>
  <c r="S36" i="36"/>
  <c r="S32" i="36"/>
  <c r="S28" i="36"/>
  <c r="S24" i="36"/>
  <c r="S20" i="36"/>
  <c r="S16" i="36"/>
  <c r="S12" i="36"/>
  <c r="G109" i="36"/>
  <c r="G103" i="36"/>
  <c r="S102" i="36"/>
  <c r="S109" i="36"/>
  <c r="S110" i="36"/>
  <c r="L5" i="36"/>
  <c r="L51" i="36"/>
  <c r="L70" i="36"/>
  <c r="J28" i="36"/>
  <c r="J20" i="36"/>
  <c r="S99" i="36"/>
  <c r="S95" i="36"/>
  <c r="S91" i="36"/>
  <c r="S87" i="36"/>
  <c r="S83" i="36"/>
  <c r="S79" i="36"/>
  <c r="S75" i="36"/>
  <c r="S71" i="36"/>
  <c r="S67" i="36"/>
  <c r="S63" i="36"/>
  <c r="S59" i="36"/>
  <c r="S55" i="36"/>
  <c r="S51" i="36"/>
  <c r="S47" i="36"/>
  <c r="S43" i="36"/>
  <c r="S39" i="36"/>
  <c r="S35" i="36"/>
  <c r="S31" i="36"/>
  <c r="S27" i="36"/>
  <c r="S23" i="36"/>
  <c r="S19" i="36"/>
  <c r="S15" i="36"/>
  <c r="S11" i="36"/>
  <c r="S108" i="36"/>
  <c r="S8" i="36"/>
  <c r="L9" i="36"/>
  <c r="L74" i="36"/>
  <c r="L89" i="36"/>
  <c r="S98" i="36"/>
  <c r="S94" i="36"/>
  <c r="S90" i="36"/>
  <c r="S86" i="36"/>
  <c r="S82" i="36"/>
  <c r="S78" i="36"/>
  <c r="S74" i="36"/>
  <c r="S70" i="36"/>
  <c r="S66" i="36"/>
  <c r="S62" i="36"/>
  <c r="S58" i="36"/>
  <c r="S54" i="36"/>
  <c r="S50" i="36"/>
  <c r="S46" i="36"/>
  <c r="S42" i="36"/>
  <c r="S38" i="36"/>
  <c r="S34" i="36"/>
  <c r="S30" i="36"/>
  <c r="S26" i="36"/>
  <c r="S22" i="36"/>
  <c r="S18" i="36"/>
  <c r="S14" i="36"/>
  <c r="S10" i="36"/>
  <c r="S107" i="36"/>
  <c r="M99" i="35"/>
  <c r="M67" i="35"/>
  <c r="G92" i="35"/>
  <c r="G88" i="35"/>
  <c r="G84" i="35"/>
  <c r="G80" i="35"/>
  <c r="G76" i="35"/>
  <c r="G72" i="35"/>
  <c r="G68" i="35"/>
  <c r="G64" i="35"/>
  <c r="G60" i="35"/>
  <c r="G56" i="35"/>
  <c r="G52" i="35"/>
  <c r="G48" i="35"/>
  <c r="G44" i="35"/>
  <c r="G40" i="35"/>
  <c r="G36" i="35"/>
  <c r="G32" i="35"/>
  <c r="G28" i="35"/>
  <c r="G24" i="35"/>
  <c r="G20" i="35"/>
  <c r="G16" i="35"/>
  <c r="G12" i="35"/>
  <c r="G8" i="35"/>
  <c r="L4" i="35"/>
  <c r="M4" i="35"/>
  <c r="M101" i="35"/>
  <c r="M97" i="35"/>
  <c r="S92" i="35"/>
  <c r="S88" i="35"/>
  <c r="S84" i="35"/>
  <c r="S80" i="35"/>
  <c r="S76" i="35"/>
  <c r="S72" i="35"/>
  <c r="S68" i="35"/>
  <c r="S64" i="35"/>
  <c r="S60" i="35"/>
  <c r="S56" i="35"/>
  <c r="S52" i="35"/>
  <c r="S48" i="35"/>
  <c r="S44" i="35"/>
  <c r="S40" i="35"/>
  <c r="S36" i="35"/>
  <c r="S32" i="35"/>
  <c r="S28" i="35"/>
  <c r="S24" i="35"/>
  <c r="S20" i="35"/>
  <c r="S16" i="35"/>
  <c r="S12" i="35"/>
  <c r="S8" i="35"/>
  <c r="S6" i="35"/>
  <c r="S108" i="35"/>
  <c r="G106" i="35"/>
  <c r="G96" i="35"/>
  <c r="G91" i="35"/>
  <c r="G87" i="35"/>
  <c r="G83" i="35"/>
  <c r="G79" i="35"/>
  <c r="G75" i="35"/>
  <c r="G71" i="35"/>
  <c r="G67" i="35"/>
  <c r="G63" i="35"/>
  <c r="G59" i="35"/>
  <c r="G55" i="35"/>
  <c r="G51" i="35"/>
  <c r="G47" i="35"/>
  <c r="G43" i="35"/>
  <c r="G39" i="35"/>
  <c r="G35" i="35"/>
  <c r="G31" i="35"/>
  <c r="G27" i="35"/>
  <c r="G23" i="35"/>
  <c r="G19" i="35"/>
  <c r="G15" i="35"/>
  <c r="G11" i="35"/>
  <c r="G7" i="35"/>
  <c r="G109" i="35"/>
  <c r="G105" i="35"/>
  <c r="G99" i="35"/>
  <c r="G95" i="35"/>
  <c r="J106" i="35"/>
  <c r="L106" i="35"/>
  <c r="M106" i="35"/>
  <c r="S105" i="35"/>
  <c r="S99" i="35"/>
  <c r="S95" i="35"/>
  <c r="S91" i="35"/>
  <c r="S87" i="35"/>
  <c r="S83" i="35"/>
  <c r="S79" i="35"/>
  <c r="S75" i="35"/>
  <c r="S71" i="35"/>
  <c r="S67" i="35"/>
  <c r="S63" i="35"/>
  <c r="S59" i="35"/>
  <c r="S55" i="35"/>
  <c r="S51" i="35"/>
  <c r="S47" i="35"/>
  <c r="S43" i="35"/>
  <c r="S39" i="35"/>
  <c r="S35" i="35"/>
  <c r="S31" i="35"/>
  <c r="S27" i="35"/>
  <c r="S23" i="35"/>
  <c r="S19" i="35"/>
  <c r="S15" i="35"/>
  <c r="S11" i="35"/>
  <c r="S7" i="35"/>
  <c r="G100" i="35"/>
  <c r="S100" i="35"/>
  <c r="G98" i="35"/>
  <c r="S104" i="35"/>
  <c r="S98" i="35"/>
  <c r="S94" i="35"/>
  <c r="S90" i="35"/>
  <c r="S86" i="35"/>
  <c r="S82" i="35"/>
  <c r="S78" i="35"/>
  <c r="S74" i="35"/>
  <c r="S70" i="35"/>
  <c r="S66" i="35"/>
  <c r="S62" i="35"/>
  <c r="S58" i="35"/>
  <c r="S54" i="35"/>
  <c r="S50" i="35"/>
  <c r="S46" i="35"/>
  <c r="S42" i="35"/>
  <c r="S38" i="35"/>
  <c r="S34" i="35"/>
  <c r="S30" i="35"/>
  <c r="S26" i="35"/>
  <c r="S22" i="35"/>
  <c r="S18" i="35"/>
  <c r="S14" i="35"/>
  <c r="S10" i="35"/>
  <c r="S96" i="35"/>
  <c r="G104" i="35"/>
  <c r="G94" i="35"/>
  <c r="G89" i="35"/>
  <c r="G85" i="35"/>
  <c r="G81" i="35"/>
  <c r="G77" i="35"/>
  <c r="G73" i="35"/>
  <c r="G69" i="35"/>
  <c r="G65" i="35"/>
  <c r="G61" i="35"/>
  <c r="G57" i="35"/>
  <c r="G53" i="35"/>
  <c r="G49" i="35"/>
  <c r="G45" i="35"/>
  <c r="G41" i="35"/>
  <c r="G37" i="35"/>
  <c r="G33" i="35"/>
  <c r="G29" i="35"/>
  <c r="G25" i="35"/>
  <c r="G21" i="35"/>
  <c r="G17" i="35"/>
  <c r="G13" i="35"/>
  <c r="G9" i="35"/>
  <c r="G5" i="35"/>
  <c r="G107" i="35"/>
  <c r="G101" i="35"/>
  <c r="G97" i="35"/>
  <c r="G93" i="35"/>
  <c r="S5" i="35"/>
  <c r="S107" i="35"/>
  <c r="S101" i="35"/>
  <c r="S97" i="35"/>
  <c r="S93" i="35"/>
  <c r="S89" i="35"/>
  <c r="S85" i="35"/>
  <c r="S81" i="35"/>
  <c r="S77" i="35"/>
  <c r="S73" i="35"/>
  <c r="S69" i="35"/>
  <c r="S65" i="35"/>
  <c r="S61" i="35"/>
  <c r="S57" i="35"/>
  <c r="S53" i="35"/>
  <c r="S49" i="35"/>
  <c r="S45" i="35"/>
  <c r="S41" i="35"/>
  <c r="S37" i="35"/>
  <c r="S33" i="35"/>
  <c r="S29" i="35"/>
  <c r="S25" i="35"/>
  <c r="S21" i="35"/>
  <c r="S17" i="35"/>
  <c r="S13" i="35"/>
  <c r="S9" i="35"/>
  <c r="S100" i="37"/>
  <c r="S96" i="37"/>
  <c r="S92" i="37"/>
  <c r="S88" i="37"/>
  <c r="S84" i="37"/>
  <c r="S80" i="37"/>
  <c r="S76" i="37"/>
  <c r="S72" i="37"/>
  <c r="S10" i="37"/>
  <c r="S109" i="37"/>
  <c r="S18" i="38"/>
  <c r="S10" i="38"/>
  <c r="Q106" i="38"/>
  <c r="S82" i="38"/>
  <c r="Q42" i="38"/>
  <c r="S42" i="38"/>
  <c r="Q58" i="38"/>
  <c r="S81" i="38"/>
  <c r="S95" i="38"/>
  <c r="S7" i="38"/>
  <c r="S12" i="38"/>
  <c r="Q15" i="38"/>
  <c r="S16" i="38"/>
  <c r="S24" i="38"/>
  <c r="S28" i="38"/>
  <c r="S32" i="38"/>
  <c r="S36" i="38"/>
  <c r="S40" i="38"/>
  <c r="S50" i="38"/>
  <c r="S54" i="38"/>
  <c r="S65" i="38"/>
  <c r="S79" i="38"/>
  <c r="S83" i="38"/>
  <c r="S86" i="38"/>
  <c r="S94" i="38"/>
  <c r="S53" i="38"/>
  <c r="S58" i="38"/>
  <c r="S66" i="38"/>
  <c r="S73" i="38"/>
  <c r="S87" i="38"/>
  <c r="G4" i="38"/>
  <c r="S23" i="38"/>
  <c r="Q82" i="38"/>
  <c r="S22" i="38"/>
  <c r="S47" i="38"/>
  <c r="S8" i="38"/>
  <c r="S26" i="38"/>
  <c r="S30" i="38"/>
  <c r="S34" i="38"/>
  <c r="S38" i="38"/>
  <c r="S44" i="38"/>
  <c r="S20" i="38"/>
  <c r="J4" i="38"/>
  <c r="S9" i="38"/>
  <c r="Q9" i="38"/>
  <c r="S17" i="38"/>
  <c r="S27" i="38"/>
  <c r="S31" i="38"/>
  <c r="S35" i="38"/>
  <c r="S39" i="38"/>
  <c r="S51" i="38"/>
  <c r="S52" i="38"/>
  <c r="S59" i="38"/>
  <c r="S60" i="38"/>
  <c r="S62" i="38"/>
  <c r="S68" i="38"/>
  <c r="S76" i="38"/>
  <c r="S84" i="38"/>
  <c r="S90" i="38"/>
  <c r="S96" i="38"/>
  <c r="S97" i="38"/>
  <c r="S98" i="38"/>
  <c r="S99" i="38"/>
  <c r="S100" i="38"/>
  <c r="S101" i="38"/>
  <c r="S102" i="38"/>
  <c r="S57" i="38"/>
  <c r="S69" i="38"/>
  <c r="S77" i="38"/>
  <c r="S85" i="38"/>
  <c r="S89" i="38"/>
  <c r="Q10" i="38"/>
  <c r="S13" i="38"/>
  <c r="S21" i="38"/>
  <c r="Q21" i="38"/>
  <c r="S25" i="38"/>
  <c r="S29" i="38"/>
  <c r="S33" i="38"/>
  <c r="S37" i="38"/>
  <c r="S41" i="38"/>
  <c r="S43" i="38"/>
  <c r="S45" i="38"/>
  <c r="S46" i="38"/>
  <c r="S48" i="38"/>
  <c r="S55" i="38"/>
  <c r="S56" i="38"/>
  <c r="S64" i="38"/>
  <c r="S72" i="38"/>
  <c r="S80" i="38"/>
  <c r="S88" i="38"/>
  <c r="S92" i="38"/>
  <c r="Q56" i="38"/>
  <c r="Q49" i="38"/>
  <c r="Q60" i="38"/>
  <c r="Q73" i="38"/>
  <c r="Q89" i="38"/>
  <c r="Q93" i="38"/>
  <c r="Q98" i="38"/>
  <c r="Q102" i="38"/>
  <c r="S91" i="38"/>
  <c r="S93" i="38"/>
  <c r="G110" i="36"/>
  <c r="G106" i="36"/>
  <c r="G108" i="36"/>
  <c r="G102" i="36"/>
  <c r="S64" i="37"/>
  <c r="S48" i="37"/>
  <c r="S32" i="37"/>
  <c r="S16" i="37"/>
  <c r="J86" i="37"/>
  <c r="J106" i="37"/>
  <c r="Q107" i="37"/>
  <c r="S63" i="37"/>
  <c r="S51" i="37"/>
  <c r="S47" i="37"/>
  <c r="S43" i="37"/>
  <c r="S35" i="37"/>
  <c r="S27" i="37"/>
  <c r="S19" i="37"/>
  <c r="S15" i="37"/>
  <c r="S11" i="37"/>
  <c r="J75" i="37"/>
  <c r="L75" i="37"/>
  <c r="J109" i="37"/>
  <c r="L109" i="37"/>
  <c r="J103" i="37"/>
  <c r="S108" i="37"/>
  <c r="S107" i="37"/>
  <c r="S7" i="37"/>
  <c r="S110" i="37"/>
  <c r="J108" i="37"/>
  <c r="J102" i="37"/>
  <c r="S68" i="37"/>
  <c r="S60" i="37"/>
  <c r="S56" i="37"/>
  <c r="S52" i="37"/>
  <c r="S44" i="37"/>
  <c r="S40" i="37"/>
  <c r="S36" i="37"/>
  <c r="S28" i="37"/>
  <c r="S24" i="37"/>
  <c r="S20" i="37"/>
  <c r="S12" i="37"/>
  <c r="S8" i="37"/>
  <c r="J110" i="37"/>
  <c r="S55" i="37"/>
  <c r="S39" i="37"/>
  <c r="S23" i="37"/>
  <c r="S66" i="37"/>
  <c r="S50" i="37"/>
  <c r="S34" i="37"/>
  <c r="S18" i="37"/>
  <c r="S65" i="37"/>
  <c r="S61" i="37"/>
  <c r="S57" i="37"/>
  <c r="S53" i="37"/>
  <c r="S49" i="37"/>
  <c r="S45" i="37"/>
  <c r="S41" i="37"/>
  <c r="S37" i="37"/>
  <c r="S33" i="37"/>
  <c r="S29" i="37"/>
  <c r="S25" i="37"/>
  <c r="S21" i="37"/>
  <c r="S17" i="37"/>
  <c r="S13" i="37"/>
  <c r="S9" i="37"/>
  <c r="Q102" i="37"/>
  <c r="Q106" i="37"/>
  <c r="G107" i="37"/>
  <c r="Q110" i="37"/>
  <c r="S93" i="37"/>
  <c r="S89" i="37"/>
  <c r="S85" i="37"/>
  <c r="S81" i="37"/>
  <c r="S77" i="37"/>
  <c r="S73" i="37"/>
  <c r="S69" i="37"/>
  <c r="S106" i="37"/>
  <c r="J68" i="37"/>
  <c r="L68" i="37"/>
  <c r="J70" i="37"/>
  <c r="J72" i="37"/>
  <c r="J83" i="37"/>
  <c r="J7" i="37"/>
  <c r="J29" i="37"/>
  <c r="J31" i="37"/>
  <c r="J33" i="37"/>
  <c r="J41" i="37"/>
  <c r="L41" i="37"/>
  <c r="J43" i="37"/>
  <c r="J47" i="37"/>
  <c r="J55" i="37"/>
  <c r="J57" i="37"/>
  <c r="J59" i="37"/>
  <c r="L59" i="37"/>
  <c r="J63" i="37"/>
  <c r="J65" i="37"/>
  <c r="L65" i="37"/>
  <c r="J69" i="37"/>
  <c r="J71" i="37"/>
  <c r="J23" i="37"/>
  <c r="J4" i="37"/>
  <c r="J24" i="37"/>
  <c r="G51" i="37"/>
  <c r="J73" i="37"/>
  <c r="J12" i="37"/>
  <c r="L12" i="37"/>
  <c r="J16" i="37"/>
  <c r="L16" i="37"/>
  <c r="J18" i="37"/>
  <c r="J25" i="37"/>
  <c r="J39" i="37"/>
  <c r="J85" i="37"/>
  <c r="J87" i="37"/>
  <c r="J89" i="37"/>
  <c r="J91" i="37"/>
  <c r="J99" i="37"/>
  <c r="J101" i="37"/>
  <c r="J34" i="37"/>
  <c r="J5" i="37"/>
  <c r="J10" i="37"/>
  <c r="J13" i="37"/>
  <c r="J15" i="37"/>
  <c r="J17" i="37"/>
  <c r="J48" i="37"/>
  <c r="J54" i="37"/>
  <c r="J9" i="37"/>
  <c r="J19" i="37"/>
  <c r="J21" i="37"/>
  <c r="J26" i="37"/>
  <c r="J28" i="37"/>
  <c r="J35" i="37"/>
  <c r="J37" i="37"/>
  <c r="J40" i="37"/>
  <c r="L40" i="37"/>
  <c r="J46" i="37"/>
  <c r="J77" i="37"/>
  <c r="J79" i="37"/>
  <c r="J81" i="37"/>
  <c r="J92" i="37"/>
  <c r="L92" i="37"/>
  <c r="J96" i="37"/>
  <c r="J11" i="37"/>
  <c r="J20" i="37"/>
  <c r="J22" i="37"/>
  <c r="J27" i="37"/>
  <c r="J36" i="37"/>
  <c r="J38" i="37"/>
  <c r="J49" i="37"/>
  <c r="J51" i="37"/>
  <c r="J56" i="37"/>
  <c r="J66" i="37"/>
  <c r="J76" i="37"/>
  <c r="L76" i="37"/>
  <c r="J80" i="37"/>
  <c r="L80" i="37"/>
  <c r="J93" i="37"/>
  <c r="J95" i="37"/>
  <c r="J97" i="37"/>
  <c r="G41" i="37"/>
  <c r="G43" i="37"/>
  <c r="G59" i="37"/>
  <c r="J6" i="37"/>
  <c r="J8" i="37"/>
  <c r="L8" i="37"/>
  <c r="G14" i="37"/>
  <c r="G16" i="37"/>
  <c r="Q32" i="37"/>
  <c r="J45" i="37"/>
  <c r="J53" i="37"/>
  <c r="J61" i="37"/>
  <c r="J62" i="37"/>
  <c r="J67" i="37"/>
  <c r="J74" i="37"/>
  <c r="J82" i="37"/>
  <c r="J90" i="37"/>
  <c r="J98" i="37"/>
  <c r="J14" i="37"/>
  <c r="G18" i="37"/>
  <c r="G39" i="37"/>
  <c r="J42" i="37"/>
  <c r="J44" i="37"/>
  <c r="G47" i="37"/>
  <c r="J50" i="37"/>
  <c r="J52" i="37"/>
  <c r="G55" i="37"/>
  <c r="J58" i="37"/>
  <c r="J60" i="37"/>
  <c r="J64" i="37"/>
  <c r="J78" i="37"/>
  <c r="J94" i="37"/>
  <c r="G30" i="37"/>
  <c r="G36" i="37"/>
  <c r="G45" i="37"/>
  <c r="G53" i="37"/>
  <c r="G11" i="37"/>
  <c r="G15" i="37"/>
  <c r="Q53" i="37"/>
  <c r="G4" i="37"/>
  <c r="G5" i="37"/>
  <c r="G9" i="37"/>
  <c r="Q13" i="37"/>
  <c r="G13" i="37"/>
  <c r="G17" i="37"/>
  <c r="G46" i="37"/>
  <c r="G7" i="37"/>
  <c r="G42" i="37"/>
  <c r="Q54" i="37"/>
  <c r="G54" i="37"/>
  <c r="Q18" i="37"/>
  <c r="G21" i="37"/>
  <c r="G25" i="37"/>
  <c r="Q30" i="37"/>
  <c r="G33" i="37"/>
  <c r="G35" i="37"/>
  <c r="Q38" i="37"/>
  <c r="G20" i="37"/>
  <c r="G24" i="37"/>
  <c r="G32" i="37"/>
  <c r="G34" i="37"/>
  <c r="G40" i="37"/>
  <c r="G44" i="37"/>
  <c r="Q48" i="37"/>
  <c r="G48" i="37"/>
  <c r="G52" i="37"/>
  <c r="G56" i="37"/>
  <c r="G60" i="37"/>
  <c r="G50" i="37"/>
  <c r="G58" i="37"/>
  <c r="G19" i="37"/>
  <c r="G23" i="37"/>
  <c r="G27" i="37"/>
  <c r="G29" i="37"/>
  <c r="G31" i="37"/>
  <c r="Q37" i="37"/>
  <c r="G37" i="37"/>
  <c r="Q59" i="37"/>
  <c r="G61" i="37"/>
  <c r="G63" i="37"/>
  <c r="G65" i="37"/>
  <c r="G62" i="37"/>
  <c r="G64" i="37"/>
  <c r="G66" i="37"/>
  <c r="G67" i="37"/>
  <c r="G69" i="37"/>
  <c r="G71" i="37"/>
  <c r="G73" i="37"/>
  <c r="G75" i="37"/>
  <c r="G77" i="37"/>
  <c r="G79" i="37"/>
  <c r="G81" i="37"/>
  <c r="G83" i="37"/>
  <c r="G85" i="37"/>
  <c r="G87" i="37"/>
  <c r="G89" i="37"/>
  <c r="G91" i="37"/>
  <c r="G93" i="37"/>
  <c r="G95" i="37"/>
  <c r="G97" i="37"/>
  <c r="G99" i="37"/>
  <c r="G101" i="37"/>
  <c r="G68" i="37"/>
  <c r="G70" i="37"/>
  <c r="G72" i="37"/>
  <c r="G74" i="37"/>
  <c r="G76" i="37"/>
  <c r="G78" i="37"/>
  <c r="G80" i="37"/>
  <c r="G82" i="37"/>
  <c r="G84" i="37"/>
  <c r="G86" i="37"/>
  <c r="G88" i="37"/>
  <c r="G90" i="37"/>
  <c r="G92" i="37"/>
  <c r="G94" i="37"/>
  <c r="G96" i="37"/>
  <c r="G98" i="37"/>
  <c r="G100" i="37"/>
  <c r="G106" i="37"/>
  <c r="J109" i="35"/>
  <c r="L109" i="35"/>
  <c r="M109" i="35"/>
  <c r="M55" i="35"/>
  <c r="J4" i="36"/>
  <c r="G41" i="36"/>
  <c r="J42" i="36"/>
  <c r="J50" i="36"/>
  <c r="G57" i="36"/>
  <c r="J78" i="36"/>
  <c r="J86" i="36"/>
  <c r="J90" i="36"/>
  <c r="J98" i="36"/>
  <c r="L98" i="36"/>
  <c r="G51" i="36"/>
  <c r="G55" i="36"/>
  <c r="J76" i="36"/>
  <c r="J84" i="36"/>
  <c r="L84" i="36"/>
  <c r="G31" i="36"/>
  <c r="G65" i="36"/>
  <c r="J66" i="36"/>
  <c r="J92" i="36"/>
  <c r="G94" i="36"/>
  <c r="J96" i="36"/>
  <c r="G25" i="36"/>
  <c r="G33" i="36"/>
  <c r="J48" i="36"/>
  <c r="J52" i="36"/>
  <c r="G84" i="36"/>
  <c r="G49" i="36"/>
  <c r="J64" i="36"/>
  <c r="G70" i="36"/>
  <c r="G96" i="36"/>
  <c r="J36" i="36"/>
  <c r="J40" i="36"/>
  <c r="G43" i="36"/>
  <c r="J56" i="36"/>
  <c r="G59" i="36"/>
  <c r="G88" i="36"/>
  <c r="J100" i="36"/>
  <c r="G11" i="36"/>
  <c r="G23" i="36"/>
  <c r="J43" i="36"/>
  <c r="J44" i="36"/>
  <c r="G47" i="36"/>
  <c r="J59" i="36"/>
  <c r="J60" i="36"/>
  <c r="G63" i="36"/>
  <c r="G68" i="36"/>
  <c r="J72" i="36"/>
  <c r="G74" i="36"/>
  <c r="G80" i="36"/>
  <c r="J82" i="36"/>
  <c r="G86" i="36"/>
  <c r="J88" i="36"/>
  <c r="L88" i="36"/>
  <c r="G92" i="36"/>
  <c r="G21" i="36"/>
  <c r="J23" i="36"/>
  <c r="G45" i="36"/>
  <c r="J47" i="36"/>
  <c r="J58" i="36"/>
  <c r="G61" i="36"/>
  <c r="J63" i="36"/>
  <c r="J68" i="36"/>
  <c r="G78" i="36"/>
  <c r="J80" i="36"/>
  <c r="J94" i="36"/>
  <c r="J99" i="36"/>
  <c r="G5" i="36"/>
  <c r="G9" i="36"/>
  <c r="G13" i="36"/>
  <c r="G17" i="36"/>
  <c r="J32" i="36"/>
  <c r="G39" i="36"/>
  <c r="G6" i="36"/>
  <c r="G8" i="36"/>
  <c r="G10" i="36"/>
  <c r="G12" i="36"/>
  <c r="G14" i="36"/>
  <c r="G16" i="36"/>
  <c r="G18" i="36"/>
  <c r="J25" i="36"/>
  <c r="J26" i="36"/>
  <c r="J33" i="36"/>
  <c r="J34" i="36"/>
  <c r="J41" i="36"/>
  <c r="J49" i="36"/>
  <c r="J57" i="36"/>
  <c r="J65" i="36"/>
  <c r="J67" i="36"/>
  <c r="J75" i="36"/>
  <c r="J83" i="36"/>
  <c r="J91" i="36"/>
  <c r="G4" i="36"/>
  <c r="J6" i="36"/>
  <c r="J8" i="36"/>
  <c r="J10" i="36"/>
  <c r="J12" i="36"/>
  <c r="J14" i="36"/>
  <c r="J16" i="36"/>
  <c r="J18" i="36"/>
  <c r="J21" i="36"/>
  <c r="J22" i="36"/>
  <c r="G27" i="36"/>
  <c r="J29" i="36"/>
  <c r="J30" i="36"/>
  <c r="G35" i="36"/>
  <c r="J37" i="36"/>
  <c r="J38" i="36"/>
  <c r="J45" i="36"/>
  <c r="J46" i="36"/>
  <c r="J53" i="36"/>
  <c r="J54" i="36"/>
  <c r="J61" i="36"/>
  <c r="J62" i="36"/>
  <c r="G82" i="36"/>
  <c r="G90" i="36"/>
  <c r="G98" i="36"/>
  <c r="G50" i="36"/>
  <c r="G58" i="36"/>
  <c r="G15" i="36"/>
  <c r="G19" i="36"/>
  <c r="G72" i="36"/>
  <c r="G42" i="36"/>
  <c r="G7" i="36"/>
  <c r="G60" i="36"/>
  <c r="G20" i="36"/>
  <c r="G22" i="36"/>
  <c r="G24" i="36"/>
  <c r="G26" i="36"/>
  <c r="G28" i="36"/>
  <c r="G30" i="36"/>
  <c r="G32" i="36"/>
  <c r="G34" i="36"/>
  <c r="G36" i="36"/>
  <c r="G38" i="36"/>
  <c r="G46" i="36"/>
  <c r="G54" i="36"/>
  <c r="G62" i="36"/>
  <c r="J81" i="36"/>
  <c r="G66" i="36"/>
  <c r="G44" i="36"/>
  <c r="G52" i="36"/>
  <c r="G40" i="36"/>
  <c r="G48" i="36"/>
  <c r="G56" i="36"/>
  <c r="G64" i="36"/>
  <c r="J73" i="36"/>
  <c r="G67" i="36"/>
  <c r="J69" i="36"/>
  <c r="J77" i="36"/>
  <c r="J85" i="36"/>
  <c r="J93" i="36"/>
  <c r="J101" i="36"/>
  <c r="J71" i="36"/>
  <c r="J79" i="36"/>
  <c r="J87" i="36"/>
  <c r="J95" i="36"/>
  <c r="G69" i="36"/>
  <c r="G71" i="36"/>
  <c r="G73" i="36"/>
  <c r="G75" i="36"/>
  <c r="G77" i="36"/>
  <c r="G79" i="36"/>
  <c r="G81" i="36"/>
  <c r="G83" i="36"/>
  <c r="G85" i="36"/>
  <c r="G87" i="36"/>
  <c r="G89" i="36"/>
  <c r="G91" i="36"/>
  <c r="G93" i="36"/>
  <c r="G95" i="36"/>
  <c r="G97" i="36"/>
  <c r="G99" i="36"/>
  <c r="G101" i="36"/>
  <c r="Q39" i="35"/>
  <c r="J108" i="35"/>
  <c r="L108" i="35"/>
  <c r="M108" i="35"/>
  <c r="J104" i="35"/>
  <c r="L104" i="35"/>
  <c r="M104" i="35"/>
  <c r="Q97" i="35"/>
  <c r="Q23" i="35"/>
  <c r="Q7" i="35"/>
  <c r="Q31" i="35"/>
  <c r="Q99" i="35"/>
  <c r="Q67" i="35"/>
  <c r="G4" i="35"/>
  <c r="G114" i="37"/>
  <c r="O114" i="36"/>
  <c r="G115" i="37"/>
  <c r="G115" i="36"/>
  <c r="M8" i="38"/>
  <c r="V8" i="38"/>
  <c r="M56" i="38"/>
  <c r="V56" i="38"/>
  <c r="M88" i="38"/>
  <c r="V88" i="38"/>
  <c r="M15" i="38"/>
  <c r="V15" i="38"/>
  <c r="M63" i="38"/>
  <c r="V63" i="38"/>
  <c r="M30" i="38"/>
  <c r="V30" i="38"/>
  <c r="M78" i="38"/>
  <c r="V78" i="38"/>
  <c r="M20" i="38"/>
  <c r="V20" i="38"/>
  <c r="M36" i="38"/>
  <c r="V36" i="38"/>
  <c r="M52" i="38"/>
  <c r="V52" i="38"/>
  <c r="M68" i="38"/>
  <c r="V68" i="38"/>
  <c r="M84" i="38"/>
  <c r="V84" i="38"/>
  <c r="M100" i="38"/>
  <c r="V100" i="38"/>
  <c r="M11" i="38"/>
  <c r="V11" i="38"/>
  <c r="M27" i="38"/>
  <c r="V27" i="38"/>
  <c r="M43" i="38"/>
  <c r="V43" i="38"/>
  <c r="M59" i="38"/>
  <c r="V59" i="38"/>
  <c r="M75" i="38"/>
  <c r="V75" i="38"/>
  <c r="M91" i="38"/>
  <c r="V91" i="38"/>
  <c r="M109" i="38"/>
  <c r="U109" i="38"/>
  <c r="V109" i="38"/>
  <c r="M10" i="38"/>
  <c r="V10" i="38"/>
  <c r="M26" i="38"/>
  <c r="V26" i="38"/>
  <c r="M42" i="38"/>
  <c r="V42" i="38"/>
  <c r="M58" i="38"/>
  <c r="V58" i="38"/>
  <c r="M74" i="38"/>
  <c r="V74" i="38"/>
  <c r="M90" i="38"/>
  <c r="V90" i="38"/>
  <c r="M108" i="38"/>
  <c r="U108" i="38"/>
  <c r="V108" i="38"/>
  <c r="M24" i="38"/>
  <c r="V24" i="38"/>
  <c r="M72" i="38"/>
  <c r="V72" i="38"/>
  <c r="M31" i="38"/>
  <c r="V31" i="38"/>
  <c r="M95" i="38"/>
  <c r="V95" i="38"/>
  <c r="M46" i="38"/>
  <c r="V46" i="38"/>
  <c r="M94" i="38"/>
  <c r="V94" i="38"/>
  <c r="M12" i="38"/>
  <c r="V12" i="38"/>
  <c r="M28" i="38"/>
  <c r="V28" i="38"/>
  <c r="M44" i="38"/>
  <c r="V44" i="38"/>
  <c r="M60" i="38"/>
  <c r="V60" i="38"/>
  <c r="M76" i="38"/>
  <c r="V76" i="38"/>
  <c r="M92" i="38"/>
  <c r="V92" i="38"/>
  <c r="M110" i="38"/>
  <c r="U110" i="38"/>
  <c r="V110" i="38"/>
  <c r="M19" i="38"/>
  <c r="V19" i="38"/>
  <c r="M35" i="38"/>
  <c r="V35" i="38"/>
  <c r="M51" i="38"/>
  <c r="V51" i="38"/>
  <c r="M67" i="38"/>
  <c r="V67" i="38"/>
  <c r="M83" i="38"/>
  <c r="V83" i="38"/>
  <c r="M99" i="38"/>
  <c r="V99" i="38"/>
  <c r="M18" i="38"/>
  <c r="V18" i="38"/>
  <c r="M34" i="38"/>
  <c r="V34" i="38"/>
  <c r="M50" i="38"/>
  <c r="V50" i="38"/>
  <c r="M66" i="38"/>
  <c r="V66" i="38"/>
  <c r="M82" i="38"/>
  <c r="V82" i="38"/>
  <c r="M98" i="38"/>
  <c r="V98" i="38"/>
  <c r="M40" i="38"/>
  <c r="V40" i="38"/>
  <c r="M106" i="38"/>
  <c r="U106" i="38"/>
  <c r="V106" i="38"/>
  <c r="M47" i="38"/>
  <c r="V47" i="38"/>
  <c r="M79" i="38"/>
  <c r="V79" i="38"/>
  <c r="M14" i="38"/>
  <c r="V14" i="38"/>
  <c r="M62" i="38"/>
  <c r="V62" i="38"/>
  <c r="M16" i="38"/>
  <c r="V16" i="38"/>
  <c r="M32" i="38"/>
  <c r="V32" i="38"/>
  <c r="M48" i="38"/>
  <c r="V48" i="38"/>
  <c r="M64" i="38"/>
  <c r="V64" i="38"/>
  <c r="M80" i="38"/>
  <c r="V80" i="38"/>
  <c r="M96" i="38"/>
  <c r="V96" i="38"/>
  <c r="M7" i="38"/>
  <c r="V7" i="38"/>
  <c r="M23" i="38"/>
  <c r="V23" i="38"/>
  <c r="M39" i="38"/>
  <c r="V39" i="38"/>
  <c r="M55" i="38"/>
  <c r="V55" i="38"/>
  <c r="M71" i="38"/>
  <c r="V71" i="38"/>
  <c r="M87" i="38"/>
  <c r="V87" i="38"/>
  <c r="M103" i="38"/>
  <c r="V103" i="38"/>
  <c r="M6" i="38"/>
  <c r="U6" i="38"/>
  <c r="V6" i="38"/>
  <c r="M22" i="38"/>
  <c r="V22" i="38"/>
  <c r="M38" i="38"/>
  <c r="V38" i="38"/>
  <c r="M54" i="38"/>
  <c r="V54" i="38"/>
  <c r="M70" i="38"/>
  <c r="V70" i="38"/>
  <c r="M86" i="38"/>
  <c r="V86" i="38"/>
  <c r="M102" i="38"/>
  <c r="V102" i="38"/>
  <c r="M68" i="37"/>
  <c r="U68" i="37"/>
  <c r="V68" i="37"/>
  <c r="M40" i="37"/>
  <c r="U40" i="37"/>
  <c r="V40" i="37"/>
  <c r="M59" i="37"/>
  <c r="U59" i="37"/>
  <c r="V59" i="37"/>
  <c r="M41" i="37"/>
  <c r="U41" i="37"/>
  <c r="V41" i="37"/>
  <c r="M75" i="37"/>
  <c r="U75" i="37"/>
  <c r="V75" i="37"/>
  <c r="M8" i="37"/>
  <c r="U8" i="37"/>
  <c r="V8" i="37"/>
  <c r="M12" i="37"/>
  <c r="U12" i="37"/>
  <c r="V12" i="37"/>
  <c r="M65" i="37"/>
  <c r="U65" i="37"/>
  <c r="V65" i="37"/>
  <c r="M30" i="37"/>
  <c r="U30" i="37"/>
  <c r="V30" i="37"/>
  <c r="M16" i="37"/>
  <c r="U16" i="37"/>
  <c r="V16" i="37"/>
  <c r="M76" i="37"/>
  <c r="U76" i="37"/>
  <c r="V76" i="37"/>
  <c r="M92" i="37"/>
  <c r="U92" i="37"/>
  <c r="V92" i="37"/>
  <c r="M109" i="37"/>
  <c r="U109" i="37"/>
  <c r="V109" i="37"/>
  <c r="M100" i="37"/>
  <c r="U100" i="37"/>
  <c r="V100" i="37"/>
  <c r="M80" i="37"/>
  <c r="U80" i="37"/>
  <c r="V80" i="37"/>
  <c r="M84" i="37"/>
  <c r="U84" i="37"/>
  <c r="V84" i="37"/>
  <c r="M107" i="37"/>
  <c r="U107" i="37"/>
  <c r="V107" i="37"/>
  <c r="M88" i="37"/>
  <c r="U88" i="37"/>
  <c r="V88" i="37"/>
  <c r="M107" i="36"/>
  <c r="U107" i="36"/>
  <c r="V107" i="36"/>
  <c r="M110" i="36"/>
  <c r="U110" i="36"/>
  <c r="V110" i="36"/>
  <c r="M88" i="36"/>
  <c r="U88" i="36"/>
  <c r="V88" i="36"/>
  <c r="M7" i="36"/>
  <c r="U7" i="36"/>
  <c r="M89" i="36"/>
  <c r="U89" i="36"/>
  <c r="V89" i="36"/>
  <c r="M5" i="36"/>
  <c r="U5" i="36"/>
  <c r="V5" i="36"/>
  <c r="M27" i="36"/>
  <c r="U27" i="36"/>
  <c r="V27" i="36"/>
  <c r="M24" i="36"/>
  <c r="U24" i="36"/>
  <c r="V24" i="36"/>
  <c r="M106" i="36"/>
  <c r="U106" i="36"/>
  <c r="V106" i="36"/>
  <c r="M97" i="36"/>
  <c r="U97" i="36"/>
  <c r="V97" i="36"/>
  <c r="M35" i="36"/>
  <c r="U35" i="36"/>
  <c r="V35" i="36"/>
  <c r="M109" i="36"/>
  <c r="U109" i="36"/>
  <c r="V109" i="36"/>
  <c r="M84" i="36"/>
  <c r="U84" i="36"/>
  <c r="V84" i="36"/>
  <c r="M98" i="36"/>
  <c r="U98" i="36"/>
  <c r="V98" i="36"/>
  <c r="M9" i="36"/>
  <c r="U9" i="36"/>
  <c r="V9" i="36"/>
  <c r="M70" i="36"/>
  <c r="U70" i="36"/>
  <c r="V70" i="36"/>
  <c r="M11" i="36"/>
  <c r="U11" i="36"/>
  <c r="V11" i="36"/>
  <c r="M39" i="36"/>
  <c r="U39" i="36"/>
  <c r="V39" i="36"/>
  <c r="M13" i="36"/>
  <c r="U13" i="36"/>
  <c r="V13" i="36"/>
  <c r="M74" i="36"/>
  <c r="U74" i="36"/>
  <c r="V74" i="36"/>
  <c r="M17" i="36"/>
  <c r="U17" i="36"/>
  <c r="V17" i="36"/>
  <c r="M51" i="36"/>
  <c r="U51" i="36"/>
  <c r="V51" i="36"/>
  <c r="M19" i="36"/>
  <c r="U19" i="36"/>
  <c r="V19" i="36"/>
  <c r="M31" i="36"/>
  <c r="U31" i="36"/>
  <c r="V31" i="36"/>
  <c r="M103" i="36"/>
  <c r="U103" i="36"/>
  <c r="V103" i="36"/>
  <c r="V55" i="35"/>
  <c r="V101" i="35"/>
  <c r="M7" i="35"/>
  <c r="V7" i="35"/>
  <c r="M51" i="35"/>
  <c r="V51" i="35"/>
  <c r="U109" i="35"/>
  <c r="V109" i="35"/>
  <c r="V97" i="35"/>
  <c r="V47" i="35"/>
  <c r="U4" i="35"/>
  <c r="V4" i="35"/>
  <c r="V87" i="35"/>
  <c r="V67" i="35"/>
  <c r="V35" i="35"/>
  <c r="V99" i="35"/>
  <c r="V15" i="35"/>
  <c r="V83" i="35"/>
  <c r="M31" i="35"/>
  <c r="M23" i="35"/>
  <c r="M19" i="35"/>
  <c r="M39" i="35"/>
  <c r="M71" i="35"/>
  <c r="U106" i="35"/>
  <c r="V106" i="35"/>
  <c r="U104" i="35"/>
  <c r="V104" i="35"/>
  <c r="U105" i="35"/>
  <c r="V105" i="35"/>
  <c r="U108" i="35"/>
  <c r="V108" i="35"/>
  <c r="Q4" i="38"/>
  <c r="L4" i="38"/>
  <c r="Q97" i="38"/>
  <c r="Q108" i="38"/>
  <c r="Q24" i="38"/>
  <c r="Q64" i="38"/>
  <c r="Q40" i="38"/>
  <c r="L82" i="37"/>
  <c r="L79" i="37"/>
  <c r="Q108" i="37"/>
  <c r="L108" i="37"/>
  <c r="L86" i="37"/>
  <c r="L78" i="37"/>
  <c r="L44" i="37"/>
  <c r="L14" i="37"/>
  <c r="L74" i="37"/>
  <c r="L53" i="37"/>
  <c r="L51" i="37"/>
  <c r="L27" i="37"/>
  <c r="L96" i="37"/>
  <c r="L77" i="37"/>
  <c r="L35" i="37"/>
  <c r="L19" i="37"/>
  <c r="L17" i="37"/>
  <c r="L5" i="37"/>
  <c r="L91" i="37"/>
  <c r="Q39" i="37"/>
  <c r="L39" i="37"/>
  <c r="L4" i="37"/>
  <c r="Q55" i="37"/>
  <c r="L55" i="37"/>
  <c r="L33" i="37"/>
  <c r="Q83" i="37"/>
  <c r="L83" i="37"/>
  <c r="Q103" i="37"/>
  <c r="L103" i="37"/>
  <c r="L94" i="37"/>
  <c r="L61" i="37"/>
  <c r="L6" i="37"/>
  <c r="L36" i="37"/>
  <c r="L37" i="37"/>
  <c r="L48" i="37"/>
  <c r="L99" i="37"/>
  <c r="L69" i="37"/>
  <c r="L7" i="37"/>
  <c r="L52" i="37"/>
  <c r="L98" i="37"/>
  <c r="L22" i="37"/>
  <c r="L46" i="37"/>
  <c r="L9" i="37"/>
  <c r="L89" i="37"/>
  <c r="L73" i="37"/>
  <c r="L47" i="37"/>
  <c r="L72" i="37"/>
  <c r="L110" i="37"/>
  <c r="L58" i="37"/>
  <c r="L93" i="37"/>
  <c r="L56" i="37"/>
  <c r="L11" i="37"/>
  <c r="L21" i="37"/>
  <c r="L10" i="37"/>
  <c r="L85" i="37"/>
  <c r="L24" i="37"/>
  <c r="L57" i="37"/>
  <c r="L64" i="37"/>
  <c r="L42" i="37"/>
  <c r="L67" i="37"/>
  <c r="L45" i="37"/>
  <c r="L97" i="37"/>
  <c r="Q49" i="37"/>
  <c r="L49" i="37"/>
  <c r="L28" i="37"/>
  <c r="Q15" i="37"/>
  <c r="L15" i="37"/>
  <c r="L34" i="37"/>
  <c r="L25" i="37"/>
  <c r="L23" i="37"/>
  <c r="L63" i="37"/>
  <c r="L31" i="37"/>
  <c r="L60" i="37"/>
  <c r="L50" i="37"/>
  <c r="L90" i="37"/>
  <c r="L62" i="37"/>
  <c r="L95" i="37"/>
  <c r="L66" i="37"/>
  <c r="L38" i="37"/>
  <c r="L20" i="37"/>
  <c r="L81" i="37"/>
  <c r="L26" i="37"/>
  <c r="L54" i="37"/>
  <c r="L13" i="37"/>
  <c r="L101" i="37"/>
  <c r="L87" i="37"/>
  <c r="L18" i="37"/>
  <c r="Q71" i="37"/>
  <c r="L71" i="37"/>
  <c r="Q43" i="37"/>
  <c r="L43" i="37"/>
  <c r="L29" i="37"/>
  <c r="L70" i="37"/>
  <c r="L102" i="37"/>
  <c r="L106" i="37"/>
  <c r="Q58" i="37"/>
  <c r="Q56" i="37"/>
  <c r="Q25" i="37"/>
  <c r="Q52" i="37"/>
  <c r="Q10" i="37"/>
  <c r="Q89" i="37"/>
  <c r="Q47" i="37"/>
  <c r="Q73" i="37"/>
  <c r="L46" i="36"/>
  <c r="L14" i="36"/>
  <c r="L26" i="36"/>
  <c r="L95" i="36"/>
  <c r="L69" i="36"/>
  <c r="L61" i="36"/>
  <c r="L45" i="36"/>
  <c r="L21" i="36"/>
  <c r="L12" i="36"/>
  <c r="L67" i="36"/>
  <c r="L41" i="36"/>
  <c r="L80" i="36"/>
  <c r="L23" i="36"/>
  <c r="L59" i="36"/>
  <c r="L36" i="36"/>
  <c r="L92" i="36"/>
  <c r="L4" i="36"/>
  <c r="L87" i="36"/>
  <c r="L93" i="36"/>
  <c r="L54" i="36"/>
  <c r="L38" i="36"/>
  <c r="L29" i="36"/>
  <c r="L18" i="36"/>
  <c r="L10" i="36"/>
  <c r="L91" i="36"/>
  <c r="L65" i="36"/>
  <c r="L34" i="36"/>
  <c r="L32" i="36"/>
  <c r="L58" i="36"/>
  <c r="L82" i="36"/>
  <c r="L56" i="36"/>
  <c r="L66" i="36"/>
  <c r="L76" i="36"/>
  <c r="L90" i="36"/>
  <c r="L50" i="36"/>
  <c r="L20" i="36"/>
  <c r="L85" i="36"/>
  <c r="L81" i="36"/>
  <c r="L53" i="36"/>
  <c r="L37" i="36"/>
  <c r="L16" i="36"/>
  <c r="L8" i="36"/>
  <c r="L22" i="36"/>
  <c r="L25" i="36"/>
  <c r="L28" i="36"/>
  <c r="L30" i="36"/>
  <c r="L33" i="36"/>
  <c r="L40" i="36"/>
  <c r="L42" i="36"/>
  <c r="L43" i="36"/>
  <c r="L44" i="36"/>
  <c r="L47" i="36"/>
  <c r="L48" i="36"/>
  <c r="L49" i="36"/>
  <c r="L52" i="36"/>
  <c r="L57" i="36"/>
  <c r="L60" i="36"/>
  <c r="L62" i="36"/>
  <c r="L63" i="36"/>
  <c r="L64" i="36"/>
  <c r="L68" i="36"/>
  <c r="L71" i="36"/>
  <c r="L72" i="36"/>
  <c r="L73" i="36"/>
  <c r="L75" i="36"/>
  <c r="L77" i="36"/>
  <c r="L114" i="36"/>
  <c r="M114" i="36"/>
  <c r="L83" i="36"/>
  <c r="L99" i="36"/>
  <c r="L100" i="36"/>
  <c r="L96" i="36"/>
  <c r="L86" i="36"/>
  <c r="L79" i="36"/>
  <c r="L6" i="36"/>
  <c r="L94" i="36"/>
  <c r="L78" i="36"/>
  <c r="L101" i="36"/>
  <c r="Q87" i="35"/>
  <c r="Q71" i="35"/>
  <c r="Q15" i="35"/>
  <c r="Q101" i="35"/>
  <c r="Q47" i="35"/>
  <c r="V14" i="35"/>
  <c r="V54" i="35"/>
  <c r="Q74" i="35"/>
  <c r="V74" i="35"/>
  <c r="V90" i="35"/>
  <c r="Q63" i="35"/>
  <c r="V63" i="35"/>
  <c r="V32" i="35"/>
  <c r="V48" i="35"/>
  <c r="V80" i="35"/>
  <c r="V26" i="35"/>
  <c r="V9" i="35"/>
  <c r="V25" i="35"/>
  <c r="V41" i="35"/>
  <c r="V57" i="35"/>
  <c r="V73" i="35"/>
  <c r="V89" i="35"/>
  <c r="V18" i="35"/>
  <c r="V62" i="35"/>
  <c r="V78" i="35"/>
  <c r="Q94" i="35"/>
  <c r="V94" i="35"/>
  <c r="V20" i="35"/>
  <c r="V36" i="35"/>
  <c r="V52" i="35"/>
  <c r="V68" i="35"/>
  <c r="V100" i="35"/>
  <c r="V42" i="35"/>
  <c r="V13" i="35"/>
  <c r="V29" i="35"/>
  <c r="V45" i="35"/>
  <c r="V61" i="35"/>
  <c r="V77" i="35"/>
  <c r="V93" i="35"/>
  <c r="V59" i="35"/>
  <c r="V22" i="35"/>
  <c r="V46" i="35"/>
  <c r="V66" i="35"/>
  <c r="V82" i="35"/>
  <c r="V98" i="35"/>
  <c r="V79" i="35"/>
  <c r="Q4" i="35"/>
  <c r="V8" i="35"/>
  <c r="V24" i="35"/>
  <c r="V40" i="35"/>
  <c r="V56" i="35"/>
  <c r="V72" i="35"/>
  <c r="V88" i="35"/>
  <c r="V58" i="35"/>
  <c r="V17" i="35"/>
  <c r="V33" i="35"/>
  <c r="V49" i="35"/>
  <c r="V65" i="35"/>
  <c r="V81" i="35"/>
  <c r="V27" i="35"/>
  <c r="V34" i="35"/>
  <c r="V95" i="35"/>
  <c r="V16" i="35"/>
  <c r="V64" i="35"/>
  <c r="V96" i="35"/>
  <c r="V43" i="35"/>
  <c r="V38" i="35"/>
  <c r="V84" i="35"/>
  <c r="V11" i="35"/>
  <c r="V6" i="35"/>
  <c r="V30" i="35"/>
  <c r="V50" i="35"/>
  <c r="V70" i="35"/>
  <c r="V86" i="35"/>
  <c r="V91" i="35"/>
  <c r="V12" i="35"/>
  <c r="V28" i="35"/>
  <c r="V44" i="35"/>
  <c r="V60" i="35"/>
  <c r="V76" i="35"/>
  <c r="V92" i="35"/>
  <c r="V10" i="35"/>
  <c r="V5" i="35"/>
  <c r="V21" i="35"/>
  <c r="V37" i="35"/>
  <c r="V53" i="35"/>
  <c r="V69" i="35"/>
  <c r="V85" i="35"/>
  <c r="Q79" i="38"/>
  <c r="Q77" i="38"/>
  <c r="Q17" i="38"/>
  <c r="Q88" i="38"/>
  <c r="Q39" i="38"/>
  <c r="Q31" i="38"/>
  <c r="Q86" i="38"/>
  <c r="Q71" i="38"/>
  <c r="Q38" i="38"/>
  <c r="Q110" i="38"/>
  <c r="Q87" i="38"/>
  <c r="Q28" i="38"/>
  <c r="Q19" i="38"/>
  <c r="Q103" i="38"/>
  <c r="Q65" i="38"/>
  <c r="Q35" i="38"/>
  <c r="Q12" i="38"/>
  <c r="Q100" i="38"/>
  <c r="Q48" i="38"/>
  <c r="Q66" i="38"/>
  <c r="Q43" i="38"/>
  <c r="Q37" i="38"/>
  <c r="Q29" i="38"/>
  <c r="Q76" i="38"/>
  <c r="Q61" i="38"/>
  <c r="Q36" i="38"/>
  <c r="Q30" i="38"/>
  <c r="Q26" i="38"/>
  <c r="Q16" i="38"/>
  <c r="Q96" i="38"/>
  <c r="Q84" i="38"/>
  <c r="Q69" i="38"/>
  <c r="Q54" i="38"/>
  <c r="Q99" i="38"/>
  <c r="Q91" i="38"/>
  <c r="Q52" i="38"/>
  <c r="Q27" i="38"/>
  <c r="Q45" i="38"/>
  <c r="Q14" i="38"/>
  <c r="Q50" i="38"/>
  <c r="Q41" i="38"/>
  <c r="Q33" i="38"/>
  <c r="Q25" i="38"/>
  <c r="Q46" i="38"/>
  <c r="Q11" i="38"/>
  <c r="Q23" i="38"/>
  <c r="Q75" i="38"/>
  <c r="Q68" i="38"/>
  <c r="Q32" i="38"/>
  <c r="Q94" i="38"/>
  <c r="Q92" i="38"/>
  <c r="Q81" i="38"/>
  <c r="Q95" i="38"/>
  <c r="Q51" i="38"/>
  <c r="Q101" i="38"/>
  <c r="Q90" i="38"/>
  <c r="Q63" i="38"/>
  <c r="Q72" i="38"/>
  <c r="Q47" i="38"/>
  <c r="Q18" i="38"/>
  <c r="Q59" i="38"/>
  <c r="Q55" i="38"/>
  <c r="Q83" i="38"/>
  <c r="Q67" i="38"/>
  <c r="Q75" i="37"/>
  <c r="Q96" i="37"/>
  <c r="Q69" i="37"/>
  <c r="Q109" i="37"/>
  <c r="Q19" i="37"/>
  <c r="Q35" i="37"/>
  <c r="Q77" i="37"/>
  <c r="Q51" i="37"/>
  <c r="Q7" i="37"/>
  <c r="Q24" i="37"/>
  <c r="Q36" i="37"/>
  <c r="Q11" i="37"/>
  <c r="Q64" i="37"/>
  <c r="Q100" i="37"/>
  <c r="Q72" i="37"/>
  <c r="Q99" i="37"/>
  <c r="Q93" i="37"/>
  <c r="Q67" i="37"/>
  <c r="Q31" i="37"/>
  <c r="Q85" i="37"/>
  <c r="Q29" i="37"/>
  <c r="Q61" i="37"/>
  <c r="Q22" i="37"/>
  <c r="Q34" i="37"/>
  <c r="Q79" i="37"/>
  <c r="Q44" i="37"/>
  <c r="Q6" i="37"/>
  <c r="Q4" i="37"/>
  <c r="Q95" i="37"/>
  <c r="Q91" i="37"/>
  <c r="Q40" i="37"/>
  <c r="Q26" i="37"/>
  <c r="Q46" i="37"/>
  <c r="Q23" i="37"/>
  <c r="Q80" i="37"/>
  <c r="Q76" i="37"/>
  <c r="Q92" i="37"/>
  <c r="Q98" i="37"/>
  <c r="Q88" i="37"/>
  <c r="Q68" i="37"/>
  <c r="Q101" i="37"/>
  <c r="Q97" i="37"/>
  <c r="Q81" i="37"/>
  <c r="Q66" i="37"/>
  <c r="Q65" i="37"/>
  <c r="Q50" i="37"/>
  <c r="Q33" i="37"/>
  <c r="Q21" i="37"/>
  <c r="Q9" i="37"/>
  <c r="Q20" i="37"/>
  <c r="Q87" i="37"/>
  <c r="Q28" i="37"/>
  <c r="Q5" i="37"/>
  <c r="Q84" i="37"/>
  <c r="Q27" i="37"/>
  <c r="Q57" i="37"/>
  <c r="Q17" i="37"/>
  <c r="Q45" i="37"/>
  <c r="Q90" i="37"/>
  <c r="Q14" i="37"/>
  <c r="Q74" i="37"/>
  <c r="Q62" i="37"/>
  <c r="Q42" i="37"/>
  <c r="Q82" i="37"/>
  <c r="Q60" i="37"/>
  <c r="Q63" i="37"/>
  <c r="Q41" i="37"/>
  <c r="Q94" i="37"/>
  <c r="Q86" i="37"/>
  <c r="Q78" i="37"/>
  <c r="Q70" i="37"/>
  <c r="Q16" i="37"/>
  <c r="Q8" i="37"/>
  <c r="Q12" i="37"/>
  <c r="Q83" i="35"/>
  <c r="Q55" i="35"/>
  <c r="Q51" i="35"/>
  <c r="Q19" i="35"/>
  <c r="Q35" i="35"/>
  <c r="L115" i="36"/>
  <c r="M115" i="36"/>
  <c r="L114" i="37"/>
  <c r="M114" i="37"/>
  <c r="M77" i="37"/>
  <c r="U77" i="37"/>
  <c r="V77" i="37"/>
  <c r="L115" i="37"/>
  <c r="M115" i="37"/>
  <c r="V7" i="36"/>
  <c r="M4" i="38"/>
  <c r="U4" i="38"/>
  <c r="V4" i="38"/>
  <c r="M20" i="37"/>
  <c r="U20" i="37"/>
  <c r="V20" i="37"/>
  <c r="M31" i="37"/>
  <c r="U31" i="37"/>
  <c r="V31" i="37"/>
  <c r="M67" i="37"/>
  <c r="U67" i="37"/>
  <c r="V67" i="37"/>
  <c r="M24" i="37"/>
  <c r="U24" i="37"/>
  <c r="V24" i="37"/>
  <c r="M6" i="37"/>
  <c r="U6" i="37"/>
  <c r="V6" i="37"/>
  <c r="M55" i="37"/>
  <c r="U55" i="37"/>
  <c r="V55" i="37"/>
  <c r="M27" i="37"/>
  <c r="U27" i="37"/>
  <c r="V27" i="37"/>
  <c r="M14" i="37"/>
  <c r="U14" i="37"/>
  <c r="V14" i="37"/>
  <c r="M54" i="37"/>
  <c r="U54" i="37"/>
  <c r="V54" i="37"/>
  <c r="M26" i="37"/>
  <c r="U26" i="37"/>
  <c r="V26" i="37"/>
  <c r="M66" i="37"/>
  <c r="U66" i="37"/>
  <c r="V66" i="37"/>
  <c r="M50" i="37"/>
  <c r="U50" i="37"/>
  <c r="V50" i="37"/>
  <c r="M23" i="37"/>
  <c r="U23" i="37"/>
  <c r="V23" i="37"/>
  <c r="M64" i="37"/>
  <c r="U64" i="37"/>
  <c r="V64" i="37"/>
  <c r="M10" i="37"/>
  <c r="U10" i="37"/>
  <c r="V10" i="37"/>
  <c r="M46" i="37"/>
  <c r="U46" i="37"/>
  <c r="V46" i="37"/>
  <c r="M7" i="37"/>
  <c r="U7" i="37"/>
  <c r="M37" i="37"/>
  <c r="U37" i="37"/>
  <c r="V37" i="37"/>
  <c r="M4" i="37"/>
  <c r="U4" i="37"/>
  <c r="V4" i="37"/>
  <c r="M5" i="37"/>
  <c r="U5" i="37"/>
  <c r="V5" i="37"/>
  <c r="M53" i="37"/>
  <c r="U53" i="37"/>
  <c r="V53" i="37"/>
  <c r="M70" i="37"/>
  <c r="U70" i="37"/>
  <c r="V70" i="37"/>
  <c r="M71" i="37"/>
  <c r="U71" i="37"/>
  <c r="V71" i="37"/>
  <c r="M60" i="37"/>
  <c r="U60" i="37"/>
  <c r="V60" i="37"/>
  <c r="M25" i="37"/>
  <c r="U25" i="37"/>
  <c r="V25" i="37"/>
  <c r="M28" i="37"/>
  <c r="U28" i="37"/>
  <c r="V28" i="37"/>
  <c r="M45" i="37"/>
  <c r="U45" i="37"/>
  <c r="V45" i="37"/>
  <c r="M57" i="37"/>
  <c r="U57" i="37"/>
  <c r="V57" i="37"/>
  <c r="M21" i="37"/>
  <c r="U21" i="37"/>
  <c r="V21" i="37"/>
  <c r="M58" i="37"/>
  <c r="U58" i="37"/>
  <c r="V58" i="37"/>
  <c r="M73" i="37"/>
  <c r="U73" i="37"/>
  <c r="V73" i="37"/>
  <c r="M22" i="37"/>
  <c r="U22" i="37"/>
  <c r="V22" i="37"/>
  <c r="M69" i="37"/>
  <c r="U69" i="37"/>
  <c r="V69" i="37"/>
  <c r="M36" i="37"/>
  <c r="U36" i="37"/>
  <c r="V36" i="37"/>
  <c r="M33" i="37"/>
  <c r="U33" i="37"/>
  <c r="V33" i="37"/>
  <c r="M39" i="37"/>
  <c r="U39" i="37"/>
  <c r="V39" i="37"/>
  <c r="M17" i="37"/>
  <c r="U17" i="37"/>
  <c r="V17" i="37"/>
  <c r="M74" i="37"/>
  <c r="U74" i="37"/>
  <c r="V74" i="37"/>
  <c r="M13" i="37"/>
  <c r="U13" i="37"/>
  <c r="V13" i="37"/>
  <c r="M34" i="37"/>
  <c r="U34" i="37"/>
  <c r="V34" i="37"/>
  <c r="M11" i="37"/>
  <c r="U11" i="37"/>
  <c r="V11" i="37"/>
  <c r="M19" i="37"/>
  <c r="U19" i="37"/>
  <c r="V19" i="37"/>
  <c r="M43" i="37"/>
  <c r="U43" i="37"/>
  <c r="V43" i="37"/>
  <c r="M18" i="37"/>
  <c r="U18" i="37"/>
  <c r="V18" i="37"/>
  <c r="M38" i="37"/>
  <c r="U38" i="37"/>
  <c r="V38" i="37"/>
  <c r="M63" i="37"/>
  <c r="U63" i="37"/>
  <c r="V63" i="37"/>
  <c r="M15" i="37"/>
  <c r="U15" i="37"/>
  <c r="V15" i="37"/>
  <c r="M42" i="37"/>
  <c r="U42" i="37"/>
  <c r="V42" i="37"/>
  <c r="M56" i="37"/>
  <c r="U56" i="37"/>
  <c r="V56" i="37"/>
  <c r="M72" i="37"/>
  <c r="U72" i="37"/>
  <c r="V72" i="37"/>
  <c r="M9" i="37"/>
  <c r="U9" i="37"/>
  <c r="V9" i="37"/>
  <c r="M52" i="37"/>
  <c r="U52" i="37"/>
  <c r="V52" i="37"/>
  <c r="M48" i="37"/>
  <c r="U48" i="37"/>
  <c r="V48" i="37"/>
  <c r="M61" i="37"/>
  <c r="U61" i="37"/>
  <c r="V61" i="37"/>
  <c r="M35" i="37"/>
  <c r="U35" i="37"/>
  <c r="V35" i="37"/>
  <c r="M51" i="37"/>
  <c r="U51" i="37"/>
  <c r="V51" i="37"/>
  <c r="M44" i="37"/>
  <c r="U44" i="37"/>
  <c r="V44" i="37"/>
  <c r="M29" i="37"/>
  <c r="U29" i="37"/>
  <c r="V29" i="37"/>
  <c r="M62" i="37"/>
  <c r="U62" i="37"/>
  <c r="V62" i="37"/>
  <c r="M49" i="37"/>
  <c r="U49" i="37"/>
  <c r="V49" i="37"/>
  <c r="M47" i="37"/>
  <c r="U47" i="37"/>
  <c r="V47" i="37"/>
  <c r="M102" i="37"/>
  <c r="U102" i="37"/>
  <c r="V102" i="37"/>
  <c r="M87" i="37"/>
  <c r="U87" i="37"/>
  <c r="V87" i="37"/>
  <c r="M93" i="37"/>
  <c r="U93" i="37"/>
  <c r="V93" i="37"/>
  <c r="M94" i="37"/>
  <c r="U94" i="37"/>
  <c r="V94" i="37"/>
  <c r="M78" i="37"/>
  <c r="U78" i="37"/>
  <c r="M79" i="37"/>
  <c r="U79" i="37"/>
  <c r="V79" i="37"/>
  <c r="M81" i="37"/>
  <c r="U81" i="37"/>
  <c r="V81" i="37"/>
  <c r="M95" i="37"/>
  <c r="U95" i="37"/>
  <c r="V95" i="37"/>
  <c r="M103" i="37"/>
  <c r="U103" i="37"/>
  <c r="V103" i="37"/>
  <c r="M96" i="37"/>
  <c r="U96" i="37"/>
  <c r="V96" i="37"/>
  <c r="M86" i="37"/>
  <c r="U86" i="37"/>
  <c r="V86" i="37"/>
  <c r="M82" i="37"/>
  <c r="U82" i="37"/>
  <c r="V82" i="37"/>
  <c r="M110" i="37"/>
  <c r="U110" i="37"/>
  <c r="V110" i="37"/>
  <c r="M89" i="37"/>
  <c r="U89" i="37"/>
  <c r="V89" i="37"/>
  <c r="M98" i="37"/>
  <c r="U98" i="37"/>
  <c r="V98" i="37"/>
  <c r="M99" i="37"/>
  <c r="U99" i="37"/>
  <c r="V99" i="37"/>
  <c r="M108" i="37"/>
  <c r="U108" i="37"/>
  <c r="V108" i="37"/>
  <c r="M106" i="37"/>
  <c r="U106" i="37"/>
  <c r="V106" i="37"/>
  <c r="M90" i="37"/>
  <c r="U90" i="37"/>
  <c r="V90" i="37"/>
  <c r="M85" i="37"/>
  <c r="U85" i="37"/>
  <c r="V85" i="37"/>
  <c r="M83" i="37"/>
  <c r="U83" i="37"/>
  <c r="V83" i="37"/>
  <c r="M91" i="37"/>
  <c r="U91" i="37"/>
  <c r="V91" i="37"/>
  <c r="M97" i="37"/>
  <c r="U97" i="37"/>
  <c r="V97" i="37"/>
  <c r="M101" i="37"/>
  <c r="U101" i="37"/>
  <c r="V101" i="37"/>
  <c r="M76" i="36"/>
  <c r="U76" i="36"/>
  <c r="V76" i="36"/>
  <c r="M101" i="36"/>
  <c r="U101" i="36"/>
  <c r="V101" i="36"/>
  <c r="M49" i="36"/>
  <c r="U49" i="36"/>
  <c r="V49" i="36"/>
  <c r="M86" i="36"/>
  <c r="U86" i="36"/>
  <c r="V86" i="36"/>
  <c r="M16" i="36"/>
  <c r="U16" i="36"/>
  <c r="V16" i="36"/>
  <c r="M91" i="36"/>
  <c r="U91" i="36"/>
  <c r="V91" i="36"/>
  <c r="M38" i="36"/>
  <c r="U38" i="36"/>
  <c r="V38" i="36"/>
  <c r="M12" i="36"/>
  <c r="U12" i="36"/>
  <c r="V12" i="36"/>
  <c r="M75" i="36"/>
  <c r="U75" i="36"/>
  <c r="V75" i="36"/>
  <c r="M48" i="36"/>
  <c r="U48" i="36"/>
  <c r="V48" i="36"/>
  <c r="M6" i="36"/>
  <c r="U6" i="36"/>
  <c r="V6" i="36"/>
  <c r="M20" i="36"/>
  <c r="U20" i="36"/>
  <c r="V20" i="36"/>
  <c r="M71" i="36"/>
  <c r="U71" i="36"/>
  <c r="V71" i="36"/>
  <c r="M64" i="36"/>
  <c r="U64" i="36"/>
  <c r="V64" i="36"/>
  <c r="M22" i="36"/>
  <c r="U22" i="36"/>
  <c r="V22" i="36"/>
  <c r="M28" i="36"/>
  <c r="U28" i="36"/>
  <c r="V28" i="36"/>
  <c r="M68" i="36"/>
  <c r="U68" i="36"/>
  <c r="V68" i="36"/>
  <c r="M83" i="36"/>
  <c r="U83" i="36"/>
  <c r="V83" i="36"/>
  <c r="M50" i="36"/>
  <c r="U50" i="36"/>
  <c r="V50" i="36"/>
  <c r="M56" i="36"/>
  <c r="U56" i="36"/>
  <c r="V56" i="36"/>
  <c r="M18" i="36"/>
  <c r="U18" i="36"/>
  <c r="V18" i="36"/>
  <c r="M93" i="36"/>
  <c r="U93" i="36"/>
  <c r="V93" i="36"/>
  <c r="M36" i="36"/>
  <c r="U36" i="36"/>
  <c r="V36" i="36"/>
  <c r="M41" i="36"/>
  <c r="U41" i="36"/>
  <c r="V41" i="36"/>
  <c r="M26" i="36"/>
  <c r="U26" i="36"/>
  <c r="V26" i="36"/>
  <c r="M30" i="36"/>
  <c r="U30" i="36"/>
  <c r="V30" i="36"/>
  <c r="M73" i="36"/>
  <c r="U73" i="36"/>
  <c r="V73" i="36"/>
  <c r="M40" i="36"/>
  <c r="U40" i="36"/>
  <c r="V40" i="36"/>
  <c r="M94" i="36"/>
  <c r="U94" i="36"/>
  <c r="V94" i="36"/>
  <c r="M62" i="36"/>
  <c r="U62" i="36"/>
  <c r="V62" i="36"/>
  <c r="M42" i="36"/>
  <c r="U42" i="36"/>
  <c r="V42" i="36"/>
  <c r="M100" i="36"/>
  <c r="U100" i="36"/>
  <c r="V100" i="36"/>
  <c r="M99" i="36"/>
  <c r="U99" i="36"/>
  <c r="V99" i="36"/>
  <c r="M8" i="36"/>
  <c r="U8" i="36"/>
  <c r="V8" i="36"/>
  <c r="M81" i="36"/>
  <c r="U81" i="36"/>
  <c r="V81" i="36"/>
  <c r="M90" i="36"/>
  <c r="U90" i="36"/>
  <c r="V90" i="36"/>
  <c r="M82" i="36"/>
  <c r="U82" i="36"/>
  <c r="V82" i="36"/>
  <c r="M65" i="36"/>
  <c r="U65" i="36"/>
  <c r="V65" i="36"/>
  <c r="M29" i="36"/>
  <c r="U29" i="36"/>
  <c r="V29" i="36"/>
  <c r="M87" i="36"/>
  <c r="U87" i="36"/>
  <c r="V87" i="36"/>
  <c r="M59" i="36"/>
  <c r="U59" i="36"/>
  <c r="V59" i="36"/>
  <c r="M67" i="36"/>
  <c r="U67" i="36"/>
  <c r="V67" i="36"/>
  <c r="M61" i="36"/>
  <c r="U61" i="36"/>
  <c r="V61" i="36"/>
  <c r="M14" i="36"/>
  <c r="U14" i="36"/>
  <c r="V14" i="36"/>
  <c r="M43" i="36"/>
  <c r="U43" i="36"/>
  <c r="V43" i="36"/>
  <c r="M44" i="36"/>
  <c r="U44" i="36"/>
  <c r="V44" i="36"/>
  <c r="M85" i="36"/>
  <c r="U85" i="36"/>
  <c r="V85" i="36"/>
  <c r="M4" i="36"/>
  <c r="U4" i="36"/>
  <c r="V4" i="36"/>
  <c r="M69" i="36"/>
  <c r="U69" i="36"/>
  <c r="V69" i="36"/>
  <c r="M72" i="36"/>
  <c r="U72" i="36"/>
  <c r="V72" i="36"/>
  <c r="M60" i="36"/>
  <c r="U60" i="36"/>
  <c r="V60" i="36"/>
  <c r="M79" i="36"/>
  <c r="U79" i="36"/>
  <c r="V79" i="36"/>
  <c r="M47" i="36"/>
  <c r="U47" i="36"/>
  <c r="V47" i="36"/>
  <c r="M57" i="36"/>
  <c r="U57" i="36"/>
  <c r="V57" i="36"/>
  <c r="M37" i="36"/>
  <c r="U37" i="36"/>
  <c r="V37" i="36"/>
  <c r="M66" i="36"/>
  <c r="U66" i="36"/>
  <c r="V66" i="36"/>
  <c r="M32" i="36"/>
  <c r="U32" i="36"/>
  <c r="V32" i="36"/>
  <c r="M10" i="36"/>
  <c r="U10" i="36"/>
  <c r="V10" i="36"/>
  <c r="M54" i="36"/>
  <c r="U54" i="36"/>
  <c r="V54" i="36"/>
  <c r="M92" i="36"/>
  <c r="U92" i="36"/>
  <c r="V92" i="36"/>
  <c r="M80" i="36"/>
  <c r="U80" i="36"/>
  <c r="V80" i="36"/>
  <c r="M21" i="36"/>
  <c r="U21" i="36"/>
  <c r="V21" i="36"/>
  <c r="M95" i="36"/>
  <c r="U95" i="36"/>
  <c r="V95" i="36"/>
  <c r="M78" i="36"/>
  <c r="U78" i="36"/>
  <c r="M77" i="36"/>
  <c r="U77" i="36"/>
  <c r="V77" i="36"/>
  <c r="M33" i="36"/>
  <c r="U33" i="36"/>
  <c r="V33" i="36"/>
  <c r="M58" i="36"/>
  <c r="U58" i="36"/>
  <c r="V58" i="36"/>
  <c r="M23" i="36"/>
  <c r="U23" i="36"/>
  <c r="V23" i="36"/>
  <c r="M46" i="36"/>
  <c r="U46" i="36"/>
  <c r="V46" i="36"/>
  <c r="M96" i="36"/>
  <c r="U96" i="36"/>
  <c r="V96" i="36"/>
  <c r="M25" i="36"/>
  <c r="U25" i="36"/>
  <c r="V25" i="36"/>
  <c r="M63" i="36"/>
  <c r="U63" i="36"/>
  <c r="V63" i="36"/>
  <c r="M52" i="36"/>
  <c r="U52" i="36"/>
  <c r="V52" i="36"/>
  <c r="M53" i="36"/>
  <c r="U53" i="36"/>
  <c r="V53" i="36"/>
  <c r="M34" i="36"/>
  <c r="U34" i="36"/>
  <c r="V34" i="36"/>
  <c r="M45" i="36"/>
  <c r="U45" i="36"/>
  <c r="V45" i="36"/>
  <c r="M60" i="35"/>
  <c r="M91" i="35"/>
  <c r="M16" i="35"/>
  <c r="M17" i="35"/>
  <c r="M66" i="35"/>
  <c r="M93" i="35"/>
  <c r="M68" i="35"/>
  <c r="M75" i="35"/>
  <c r="Q62" i="35"/>
  <c r="M62" i="35"/>
  <c r="M57" i="35"/>
  <c r="M53" i="35"/>
  <c r="M10" i="35"/>
  <c r="M44" i="35"/>
  <c r="M86" i="35"/>
  <c r="M6" i="35"/>
  <c r="M43" i="35"/>
  <c r="M65" i="35"/>
  <c r="M58" i="35"/>
  <c r="M40" i="35"/>
  <c r="M79" i="35"/>
  <c r="M46" i="35"/>
  <c r="M77" i="35"/>
  <c r="M13" i="35"/>
  <c r="M52" i="35"/>
  <c r="M94" i="35"/>
  <c r="M18" i="35"/>
  <c r="M41" i="35"/>
  <c r="M80" i="35"/>
  <c r="M37" i="35"/>
  <c r="M92" i="35"/>
  <c r="M28" i="35"/>
  <c r="M70" i="35"/>
  <c r="M11" i="35"/>
  <c r="M96" i="35"/>
  <c r="M34" i="35"/>
  <c r="M49" i="35"/>
  <c r="M88" i="35"/>
  <c r="M24" i="35"/>
  <c r="M98" i="35"/>
  <c r="M22" i="35"/>
  <c r="M61" i="35"/>
  <c r="M42" i="35"/>
  <c r="M36" i="35"/>
  <c r="M89" i="35"/>
  <c r="M25" i="35"/>
  <c r="M48" i="35"/>
  <c r="M90" i="35"/>
  <c r="Q14" i="35"/>
  <c r="M14" i="35"/>
  <c r="M85" i="35"/>
  <c r="M21" i="35"/>
  <c r="M76" i="35"/>
  <c r="M12" i="35"/>
  <c r="M50" i="35"/>
  <c r="M84" i="35"/>
  <c r="M64" i="35"/>
  <c r="M27" i="35"/>
  <c r="M33" i="35"/>
  <c r="M72" i="35"/>
  <c r="M8" i="35"/>
  <c r="M82" i="35"/>
  <c r="M59" i="35"/>
  <c r="M45" i="35"/>
  <c r="M100" i="35"/>
  <c r="M20" i="35"/>
  <c r="M78" i="35"/>
  <c r="M73" i="35"/>
  <c r="M9" i="35"/>
  <c r="M32" i="35"/>
  <c r="M74" i="35"/>
  <c r="M5" i="35"/>
  <c r="M30" i="35"/>
  <c r="M81" i="35"/>
  <c r="M29" i="35"/>
  <c r="M26" i="35"/>
  <c r="M95" i="35"/>
  <c r="M54" i="35"/>
  <c r="M69" i="35"/>
  <c r="M38" i="35"/>
  <c r="M56" i="35"/>
  <c r="M63" i="35"/>
  <c r="Q48" i="35"/>
  <c r="Q69" i="35"/>
  <c r="Q5" i="35"/>
  <c r="Q60" i="35"/>
  <c r="Q91" i="35"/>
  <c r="Q30" i="35"/>
  <c r="Q38" i="35"/>
  <c r="Q16" i="35"/>
  <c r="Q81" i="35"/>
  <c r="Q17" i="35"/>
  <c r="Q56" i="35"/>
  <c r="Q82" i="35"/>
  <c r="Q61" i="35"/>
  <c r="Q36" i="35"/>
  <c r="Q73" i="35"/>
  <c r="Q32" i="35"/>
  <c r="Q53" i="35"/>
  <c r="Q10" i="35"/>
  <c r="Q44" i="35"/>
  <c r="Q86" i="35"/>
  <c r="Q6" i="35"/>
  <c r="Q43" i="35"/>
  <c r="Q95" i="35"/>
  <c r="Q65" i="35"/>
  <c r="Q58" i="35"/>
  <c r="Q40" i="35"/>
  <c r="Q79" i="35"/>
  <c r="Q93" i="35"/>
  <c r="Q68" i="35"/>
  <c r="Q18" i="35"/>
  <c r="Q80" i="35"/>
  <c r="Q37" i="35"/>
  <c r="Q92" i="35"/>
  <c r="Q28" i="35"/>
  <c r="Q70" i="35"/>
  <c r="Q11" i="35"/>
  <c r="Q96" i="35"/>
  <c r="Q34" i="35"/>
  <c r="Q49" i="35"/>
  <c r="Q88" i="35"/>
  <c r="Q24" i="35"/>
  <c r="Q59" i="35"/>
  <c r="Q42" i="35"/>
  <c r="Q78" i="35"/>
  <c r="Q9" i="35"/>
  <c r="Q54" i="35"/>
  <c r="Q85" i="35"/>
  <c r="Q21" i="35"/>
  <c r="Q76" i="35"/>
  <c r="Q12" i="35"/>
  <c r="Q50" i="35"/>
  <c r="Q84" i="35"/>
  <c r="Q64" i="35"/>
  <c r="Q27" i="35"/>
  <c r="Q33" i="35"/>
  <c r="Q72" i="35"/>
  <c r="Q8" i="35"/>
  <c r="Q46" i="35"/>
  <c r="Q29" i="35"/>
  <c r="Q75" i="35"/>
  <c r="Q41" i="35"/>
  <c r="Q90" i="35"/>
  <c r="Q66" i="35"/>
  <c r="Q22" i="35"/>
  <c r="Q77" i="35"/>
  <c r="Q45" i="35"/>
  <c r="Q13" i="35"/>
  <c r="Q100" i="35"/>
  <c r="Q52" i="35"/>
  <c r="Q20" i="35"/>
  <c r="Q89" i="35"/>
  <c r="Q57" i="35"/>
  <c r="Q25" i="35"/>
  <c r="Q26" i="35"/>
  <c r="Q98" i="35"/>
  <c r="V7" i="37"/>
  <c r="U114" i="37"/>
  <c r="V114" i="37"/>
  <c r="U114" i="36"/>
  <c r="V114" i="36"/>
  <c r="V78" i="36"/>
  <c r="U115" i="36"/>
  <c r="V115" i="36"/>
  <c r="V78" i="37"/>
  <c r="U115" i="37"/>
  <c r="V115" i="37"/>
</calcChain>
</file>

<file path=xl/sharedStrings.xml><?xml version="1.0" encoding="utf-8"?>
<sst xmlns="http://schemas.openxmlformats.org/spreadsheetml/2006/main" count="460" uniqueCount="91">
  <si>
    <t>RB BLUE EDITION</t>
  </si>
  <si>
    <t>250ML/8.4OZ</t>
  </si>
  <si>
    <t>RB ENERGY DRINK</t>
  </si>
  <si>
    <t>355ML/12OZ</t>
  </si>
  <si>
    <t>473ML/16OZ</t>
  </si>
  <si>
    <t>568ML/19.21OZ</t>
  </si>
  <si>
    <t>591ML/20OZ</t>
  </si>
  <si>
    <t>RB RED EDITION</t>
  </si>
  <si>
    <t>60ML/2OZ</t>
  </si>
  <si>
    <t>Jan</t>
  </si>
  <si>
    <t>RB YELLOW EDITION</t>
  </si>
  <si>
    <t>RB ZERO WILD CHERRY EDITION</t>
  </si>
  <si>
    <t>RB ZERO TROPICAL ORANGE EDITION</t>
  </si>
  <si>
    <t>Total Convenience</t>
  </si>
  <si>
    <t>Mass Merchandise</t>
  </si>
  <si>
    <t>Total Off Premise</t>
  </si>
  <si>
    <t>Grand Total</t>
  </si>
  <si>
    <t>Date</t>
  </si>
  <si>
    <t>RB BLUE EDITION Total</t>
  </si>
  <si>
    <t>RB ENERGY DRINK Total</t>
  </si>
  <si>
    <t>RB RED EDITION Total</t>
  </si>
  <si>
    <t>RB YELLOW EDITION Total</t>
  </si>
  <si>
    <t>RB ZERO TROPICAL ORANGE EDITION Total</t>
  </si>
  <si>
    <t>RB ZERO WILD CHERRY EDITION Total</t>
  </si>
  <si>
    <t>Red and Blue 12oz</t>
  </si>
  <si>
    <t>Off Premise</t>
  </si>
  <si>
    <t>Trend Sep 23, 2013 through Jan 23, 2015</t>
  </si>
  <si>
    <t>Number of Observations Read</t>
  </si>
  <si>
    <t>Number of Observations Used</t>
  </si>
  <si>
    <t>F Value</t>
  </si>
  <si>
    <t>Pr &gt; F</t>
  </si>
  <si>
    <t>&lt;.0001</t>
  </si>
  <si>
    <t>R-Square</t>
  </si>
  <si>
    <t>Intercept</t>
  </si>
  <si>
    <t>running_week</t>
  </si>
  <si>
    <t>Core and New Volume</t>
  </si>
  <si>
    <t>Expected Core Volume</t>
  </si>
  <si>
    <t>Grocery/Drug</t>
  </si>
  <si>
    <t>Convenience</t>
  </si>
  <si>
    <t>Annual Growth Rate</t>
  </si>
  <si>
    <t>LABEL</t>
  </si>
  <si>
    <t>CALCULATION and EXPLANATION</t>
  </si>
  <si>
    <t>Trend Analysis</t>
  </si>
  <si>
    <t xml:space="preserve">The parameters for the trend were estimated with a multiple regression in SAS. For Total Off Premise, this was performed twice, once with Core as Percentage of Total calculated in SAS and once with Core as Percentage of Total calculated in Excel. The resulting estimates were identical. Thererfore, the parameters for the remaining datasets were estimated from SAS calculated variables. I can provide the SAS code if you wish to see it. </t>
  </si>
  <si>
    <t>The dates used to calculate the trend were September 23, 2013 through January 26, 2014 for all datasets. I also ran the model using dates from July 7, 2014 through January 26, 2015. I have not yet calculated the annual growth rate or Intro period predictions using the resulting parameters in this model but I could if you want to see it.</t>
  </si>
  <si>
    <t>Chart Dates</t>
  </si>
  <si>
    <t>The dates used for (1) charts start at September 23, 2013 and go through July 27, 2015. The dates for (2) charts are September 1, 2014 through July 27, 2015. The trend is the same in both charts - the dates displayed are the only difference.</t>
  </si>
  <si>
    <t>250ML/8.4OZ Total</t>
  </si>
  <si>
    <t>355ML/12OZ Total</t>
  </si>
  <si>
    <t>473ML/16OZ Total</t>
  </si>
  <si>
    <t>568ML/19.21OZ Total</t>
  </si>
  <si>
    <t>591ML/20OZ Total</t>
  </si>
  <si>
    <t>60ML/2OZ Total</t>
  </si>
  <si>
    <t>Core</t>
  </si>
  <si>
    <t>Running Week</t>
  </si>
  <si>
    <t>Net Red and Blue 8.4oz</t>
  </si>
  <si>
    <t>Net Blue 8.4oz</t>
  </si>
  <si>
    <t>Net Red 8.4oz</t>
  </si>
  <si>
    <t>Core / Grand Total</t>
  </si>
  <si>
    <t xml:space="preserve">Sum of Net Red 8.4oz and Net Blue 8.4oz </t>
  </si>
  <si>
    <t>Sum of Total Red 12oz and Blue 12oz</t>
  </si>
  <si>
    <t>Core and New Volume / Grand Total</t>
  </si>
  <si>
    <t>Trend analysis model parameters used to calculate expected core percent of total</t>
  </si>
  <si>
    <t>Core as Percent of Total</t>
  </si>
  <si>
    <t>Expected Core as Percent of Total</t>
  </si>
  <si>
    <t>Core and New as Percent of Total</t>
  </si>
  <si>
    <t>New Net Blue/Red</t>
  </si>
  <si>
    <t>New Net Blue/Red as Percent of Total</t>
  </si>
  <si>
    <t>New Flavors</t>
  </si>
  <si>
    <t>New Flavors as Percent of Total</t>
  </si>
  <si>
    <t>Sum of Net Red and Blue 8.4oz and Red and Blue 12oz</t>
  </si>
  <si>
    <t>Sum of Net Red and Blue 8.4oz and Red and Blue 12oz / Grand Total</t>
  </si>
  <si>
    <t>Sum of Total Yellow, Orange, and Cherry</t>
  </si>
  <si>
    <t>New Flavors / Grand Total</t>
  </si>
  <si>
    <t>Sum of Core and New Flavors</t>
  </si>
  <si>
    <t>Expected Core as Percent of Total * Grand Total</t>
  </si>
  <si>
    <t>Records from Sep 23, 2013 to July 27, 2015 are numbered consecutively and range from 1 to 97</t>
  </si>
  <si>
    <t>Other Brands</t>
  </si>
  <si>
    <t>Red 8.4oz</t>
  </si>
  <si>
    <t>2015</t>
  </si>
  <si>
    <t>Blue 8.4oz</t>
  </si>
  <si>
    <t>Other Brands as Percent of Total</t>
  </si>
  <si>
    <t>Trial Red 8.4 - Jan 2015/2014/2013 Red 8.4</t>
  </si>
  <si>
    <t>Trial Blue 8.4 - Jan 2015/2014/2013 Blue 8.4</t>
  </si>
  <si>
    <t>Pre-Intro Totals</t>
  </si>
  <si>
    <t>Intro Totals</t>
  </si>
  <si>
    <t>verification</t>
  </si>
  <si>
    <t>Expected Other Brands as Percent of Total</t>
  </si>
  <si>
    <t>New Net Special as Percent of Total</t>
  </si>
  <si>
    <t>New as Percent of Total</t>
  </si>
  <si>
    <t>New Net Special</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</si>
</sst>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1"/>
      <name val="Calibri"/>
      <family val="2"/>
      <scheme val="minor"/>
    </font>
    <font>
      <u/>
      <sz val="11"/>
      <color theme="10"/>
      <name val="Calibri"/>
      <family val="2"/>
      <scheme val="minor"/>
    </font>
    <font>
      <u/>
      <sz val="11"/>
      <color theme="11"/>
      <name val="Calibri"/>
      <family val="2"/>
      <scheme val="minor"/>
    </font>
    <font>
      <sz val="11"/>
      <color rgb="FF9C0006"/>
      <name val="Calibri"/>
      <family val="2"/>
      <scheme val="minor"/>
    </font>
    <font>
      <sz val="11"/>
      <color theme="0"/>
      <name val="Calibri"/>
      <family val="2"/>
      <scheme val="minor"/>
    </font>
    <font>
      <sz val="11"/>
      <color theme="1"/>
      <name val="Calibri"/>
      <family val="2"/>
      <scheme val="minor"/>
    </font>
    <font>
      <b/>
      <sz val="11"/>
      <color theme="0"/>
      <name val="Calibri"/>
      <family val="2"/>
      <scheme val="minor"/>
    </font>
    <font>
      <b/>
      <sz val="11"/>
      <color rgb="FFFA7D00"/>
      <name val="Calibri"/>
      <family val="2"/>
      <scheme val="minor"/>
    </font>
    <font>
      <sz val="11"/>
      <color rgb="FF006100"/>
      <name val="Calibri"/>
      <family val="2"/>
      <scheme val="minor"/>
    </font>
    <font>
      <sz val="8"/>
      <name val="Calibri"/>
      <family val="2"/>
      <scheme val="minor"/>
    </font>
  </fonts>
  <fills count="14">
    <fill>
      <patternFill patternType="none"/>
    </fill>
    <fill>
      <patternFill patternType="gray125"/>
    </fill>
    <fill>
      <patternFill patternType="solid">
        <fgColor rgb="FFFFC7CE"/>
      </patternFill>
    </fill>
    <fill>
      <patternFill patternType="solid">
        <fgColor theme="9" tint="0.39997558519241921"/>
        <bgColor indexed="65"/>
      </patternFill>
    </fill>
    <fill>
      <patternFill patternType="solid">
        <fgColor theme="5" tint="0.59999389629810485"/>
        <bgColor indexed="65"/>
      </patternFill>
    </fill>
    <fill>
      <patternFill patternType="solid">
        <fgColor rgb="FFA5A5A5"/>
      </patternFill>
    </fill>
    <fill>
      <patternFill patternType="solid">
        <fgColor rgb="FFFFFFCC"/>
      </patternFill>
    </fill>
    <fill>
      <patternFill patternType="solid">
        <fgColor rgb="FFF2F2F2"/>
      </patternFill>
    </fill>
    <fill>
      <patternFill patternType="solid">
        <fgColor theme="6" tint="0.79998168889431442"/>
        <bgColor indexed="65"/>
      </patternFill>
    </fill>
    <fill>
      <patternFill patternType="solid">
        <fgColor rgb="FFC6EFCE"/>
      </patternFill>
    </fill>
    <fill>
      <patternFill patternType="solid">
        <fgColor theme="6"/>
      </patternFill>
    </fill>
    <fill>
      <patternFill patternType="solid">
        <fgColor theme="6" tint="0.59999389629810485"/>
        <bgColor indexed="65"/>
      </patternFill>
    </fill>
    <fill>
      <patternFill patternType="solid">
        <fgColor theme="0"/>
        <bgColor indexed="64"/>
      </patternFill>
    </fill>
    <fill>
      <patternFill patternType="solid">
        <fgColor rgb="FF800000"/>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auto="1"/>
      </left>
      <right style="thin">
        <color theme="2"/>
      </right>
      <top style="thin">
        <color auto="1"/>
      </top>
      <bottom style="thin">
        <color theme="2"/>
      </bottom>
      <diagonal/>
    </border>
    <border>
      <left style="thin">
        <color theme="2"/>
      </left>
      <right style="thin">
        <color theme="2"/>
      </right>
      <top style="thin">
        <color auto="1"/>
      </top>
      <bottom style="thin">
        <color theme="2"/>
      </bottom>
      <diagonal/>
    </border>
    <border>
      <left style="thin">
        <color theme="2"/>
      </left>
      <right style="thin">
        <color auto="1"/>
      </right>
      <top style="thin">
        <color auto="1"/>
      </top>
      <bottom style="thin">
        <color theme="2"/>
      </bottom>
      <diagonal/>
    </border>
    <border>
      <left style="thin">
        <color auto="1"/>
      </left>
      <right style="thin">
        <color theme="2"/>
      </right>
      <top style="thin">
        <color theme="2"/>
      </top>
      <bottom style="thin">
        <color auto="1"/>
      </bottom>
      <diagonal/>
    </border>
    <border>
      <left style="thin">
        <color theme="2"/>
      </left>
      <right style="thin">
        <color theme="2"/>
      </right>
      <top style="thin">
        <color theme="2"/>
      </top>
      <bottom style="thin">
        <color auto="1"/>
      </bottom>
      <diagonal/>
    </border>
    <border>
      <left style="thin">
        <color theme="2"/>
      </left>
      <right style="thin">
        <color auto="1"/>
      </right>
      <top style="thin">
        <color theme="2"/>
      </top>
      <bottom style="thin">
        <color auto="1"/>
      </bottom>
      <diagonal/>
    </border>
    <border>
      <left style="thin">
        <color rgb="FF7F7F7F"/>
      </left>
      <right/>
      <top/>
      <bottom/>
      <diagonal/>
    </border>
  </borders>
  <cellStyleXfs count="34">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4" fillId="2" borderId="0" applyNumberFormat="0" applyBorder="0" applyAlignment="0" applyProtection="0"/>
    <xf numFmtId="0" fontId="5" fillId="3" borderId="0" applyNumberFormat="0" applyBorder="0" applyAlignment="0" applyProtection="0"/>
    <xf numFmtId="9" fontId="6" fillId="0" borderId="0" applyFont="0" applyFill="0" applyBorder="0" applyAlignment="0" applyProtection="0"/>
    <xf numFmtId="0" fontId="6" fillId="4" borderId="0" applyNumberFormat="0" applyBorder="0" applyAlignment="0" applyProtection="0"/>
    <xf numFmtId="0" fontId="7" fillId="5" borderId="3" applyNumberFormat="0" applyAlignment="0" applyProtection="0"/>
    <xf numFmtId="0" fontId="6" fillId="6" borderId="4" applyNumberFormat="0" applyFont="0" applyAlignment="0" applyProtection="0"/>
    <xf numFmtId="0" fontId="8" fillId="7" borderId="5" applyNumberFormat="0" applyAlignment="0" applyProtection="0"/>
    <xf numFmtId="0" fontId="6" fillId="8" borderId="0" applyNumberFormat="0" applyBorder="0" applyAlignment="0" applyProtection="0"/>
    <xf numFmtId="0" fontId="9" fillId="9"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46">
    <xf numFmtId="0" fontId="0" fillId="0" borderId="0" xfId="0"/>
    <xf numFmtId="0" fontId="0" fillId="0" borderId="0" xfId="0" applyNumberFormat="1"/>
    <xf numFmtId="14" fontId="0" fillId="0" borderId="0" xfId="0" applyNumberFormat="1" applyAlignment="1">
      <alignment horizontal="left"/>
    </xf>
    <xf numFmtId="14" fontId="0" fillId="0" borderId="0" xfId="0" applyNumberFormat="1"/>
    <xf numFmtId="0" fontId="0" fillId="0" borderId="0" xfId="0"/>
    <xf numFmtId="0" fontId="1" fillId="0" borderId="0" xfId="0" applyFont="1"/>
    <xf numFmtId="10" fontId="0" fillId="0" borderId="0" xfId="19" applyNumberFormat="1" applyFont="1" applyAlignment="1">
      <alignment horizontal="left"/>
    </xf>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1" fillId="0" borderId="0" xfId="0" applyFont="1" applyAlignment="1">
      <alignment vertical="center"/>
    </xf>
    <xf numFmtId="0" fontId="0" fillId="0" borderId="0" xfId="0" applyAlignment="1">
      <alignment horizontal="center"/>
    </xf>
    <xf numFmtId="0" fontId="1" fillId="0" borderId="0" xfId="0" applyFont="1" applyAlignment="1">
      <alignment horizontal="left"/>
    </xf>
    <xf numFmtId="0" fontId="0" fillId="0" borderId="0" xfId="0" applyAlignment="1">
      <alignment horizontal="center" wrapText="1"/>
    </xf>
    <xf numFmtId="0" fontId="5" fillId="3" borderId="0" xfId="18" applyAlignment="1">
      <alignment horizontal="center" wrapText="1"/>
    </xf>
    <xf numFmtId="0" fontId="4" fillId="2" borderId="2" xfId="17" applyBorder="1"/>
    <xf numFmtId="0" fontId="7" fillId="5" borderId="3" xfId="21" applyAlignment="1">
      <alignment horizontal="center"/>
    </xf>
    <xf numFmtId="0" fontId="0" fillId="0" borderId="0" xfId="0" applyAlignment="1">
      <alignment horizontal="left"/>
    </xf>
    <xf numFmtId="0" fontId="0" fillId="6" borderId="4" xfId="22" applyFont="1"/>
    <xf numFmtId="0" fontId="0" fillId="6" borderId="4" xfId="22" applyFont="1" applyAlignment="1">
      <alignment horizontal="left"/>
    </xf>
    <xf numFmtId="0" fontId="0" fillId="0" borderId="0" xfId="0" applyAlignment="1">
      <alignment horizontal="center" vertical="center" wrapText="1"/>
    </xf>
    <xf numFmtId="0" fontId="5" fillId="3" borderId="0" xfId="18" applyAlignment="1">
      <alignment horizontal="center" vertical="center" wrapText="1"/>
    </xf>
    <xf numFmtId="0" fontId="0" fillId="4" borderId="0" xfId="20" applyFont="1" applyAlignment="1">
      <alignment horizontal="center" vertical="center" wrapText="1"/>
    </xf>
    <xf numFmtId="0" fontId="0" fillId="4" borderId="0" xfId="20" applyFont="1" applyAlignment="1">
      <alignment horizontal="center" wrapText="1"/>
    </xf>
    <xf numFmtId="0" fontId="5" fillId="3" borderId="0" xfId="18"/>
    <xf numFmtId="0" fontId="1" fillId="0" borderId="0" xfId="0" applyFont="1" applyAlignment="1">
      <alignment horizontal="center"/>
    </xf>
    <xf numFmtId="14" fontId="1" fillId="0" borderId="0" xfId="0" applyNumberFormat="1" applyFont="1"/>
    <xf numFmtId="0" fontId="9" fillId="9" borderId="0" xfId="25"/>
    <xf numFmtId="0" fontId="9" fillId="9" borderId="0" xfId="25" applyAlignment="1">
      <alignment horizontal="center"/>
    </xf>
    <xf numFmtId="0" fontId="8" fillId="7" borderId="6" xfId="23" applyBorder="1" applyAlignment="1">
      <alignment horizontal="center" wrapText="1"/>
    </xf>
    <xf numFmtId="9" fontId="0" fillId="0" borderId="0" xfId="0" applyNumberFormat="1"/>
    <xf numFmtId="0" fontId="8" fillId="7" borderId="13" xfId="23" applyBorder="1" applyAlignment="1">
      <alignment horizontal="center" wrapText="1"/>
    </xf>
    <xf numFmtId="10" fontId="6" fillId="11" borderId="11" xfId="19" applyNumberFormat="1" applyFill="1" applyBorder="1" applyAlignment="1">
      <alignment horizontal="center"/>
    </xf>
    <xf numFmtId="10" fontId="6" fillId="11" borderId="11" xfId="27" applyNumberFormat="1" applyBorder="1" applyAlignment="1">
      <alignment horizontal="center"/>
    </xf>
    <xf numFmtId="0" fontId="1" fillId="11" borderId="10" xfId="27" applyFont="1" applyBorder="1"/>
    <xf numFmtId="0" fontId="1" fillId="12" borderId="7" xfId="24" applyFont="1" applyFill="1" applyBorder="1"/>
    <xf numFmtId="10" fontId="6" fillId="12" borderId="8" xfId="19" applyNumberFormat="1" applyFill="1" applyBorder="1" applyAlignment="1">
      <alignment horizontal="center"/>
    </xf>
    <xf numFmtId="10" fontId="6" fillId="12" borderId="8" xfId="24" applyNumberFormat="1" applyFill="1" applyBorder="1" applyAlignment="1">
      <alignment horizontal="center"/>
    </xf>
    <xf numFmtId="0" fontId="6" fillId="4" borderId="0" xfId="20" applyAlignment="1">
      <alignment horizontal="center" wrapText="1"/>
    </xf>
    <xf numFmtId="0" fontId="5" fillId="10" borderId="1" xfId="26" applyBorder="1" applyAlignment="1">
      <alignment horizontal="left" vertical="center"/>
    </xf>
    <xf numFmtId="0" fontId="1" fillId="0" borderId="1" xfId="0" applyFont="1" applyBorder="1" applyAlignment="1">
      <alignment horizontal="left" vertical="center"/>
    </xf>
    <xf numFmtId="10" fontId="5" fillId="10" borderId="9" xfId="26" applyNumberFormat="1" applyBorder="1" applyAlignment="1">
      <alignment horizontal="center" vertical="center"/>
    </xf>
    <xf numFmtId="10" fontId="5" fillId="10" borderId="12" xfId="26" applyNumberFormat="1" applyBorder="1" applyAlignment="1">
      <alignment horizontal="center" vertical="center"/>
    </xf>
    <xf numFmtId="10" fontId="0" fillId="0" borderId="9" xfId="19" applyNumberFormat="1" applyFont="1" applyBorder="1" applyAlignment="1">
      <alignment horizontal="center" vertical="center"/>
    </xf>
    <xf numFmtId="10" fontId="0" fillId="0" borderId="12" xfId="19" applyNumberFormat="1" applyFont="1" applyBorder="1" applyAlignment="1">
      <alignment horizontal="center" vertical="center"/>
    </xf>
    <xf numFmtId="0" fontId="5" fillId="13" borderId="0" xfId="0" applyFont="1" applyFill="1"/>
  </cellXfs>
  <cellStyles count="34">
    <cellStyle name="20% - Accent3" xfId="24" builtinId="38"/>
    <cellStyle name="40% - Accent2" xfId="20" builtinId="35"/>
    <cellStyle name="40% - Accent3" xfId="27" builtinId="39"/>
    <cellStyle name="60% - Accent6" xfId="18" builtinId="52"/>
    <cellStyle name="Accent3" xfId="26" builtinId="37"/>
    <cellStyle name="Bad" xfId="17" builtinId="27"/>
    <cellStyle name="Calculation" xfId="23" builtinId="22"/>
    <cellStyle name="Check Cell" xfId="21" builtinId="2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29" builtinId="9" hidden="1"/>
    <cellStyle name="Followed Hyperlink" xfId="31" builtinId="9" hidden="1"/>
    <cellStyle name="Followed Hyperlink" xfId="33" builtinId="9" hidden="1"/>
    <cellStyle name="Good" xfId="25" builtinId="26"/>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28" builtinId="8" hidden="1"/>
    <cellStyle name="Hyperlink" xfId="30" builtinId="8" hidden="1"/>
    <cellStyle name="Hyperlink" xfId="32" builtinId="8" hidden="1"/>
    <cellStyle name="Normal" xfId="0" builtinId="0"/>
    <cellStyle name="Note" xfId="22" builtinId="10"/>
    <cellStyle name="Percent" xfId="19" builtinId="5"/>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3.xml"/><Relationship Id="rId12" Type="http://schemas.openxmlformats.org/officeDocument/2006/relationships/worksheet" Target="worksheets/sheet4.xml"/><Relationship Id="rId13" Type="http://schemas.openxmlformats.org/officeDocument/2006/relationships/worksheet" Target="worksheets/sheet5.xml"/><Relationship Id="rId14" Type="http://schemas.openxmlformats.org/officeDocument/2006/relationships/worksheet" Target="worksheets/sheet6.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chartsheet" Target="chartsheets/sheet1.xml"/><Relationship Id="rId2" Type="http://schemas.openxmlformats.org/officeDocument/2006/relationships/chartsheet" Target="chartsheets/sheet2.xml"/><Relationship Id="rId3" Type="http://schemas.openxmlformats.org/officeDocument/2006/relationships/chartsheet" Target="chartsheets/sheet3.xml"/><Relationship Id="rId4" Type="http://schemas.openxmlformats.org/officeDocument/2006/relationships/chartsheet" Target="chartsheets/sheet4.xml"/><Relationship Id="rId5" Type="http://schemas.openxmlformats.org/officeDocument/2006/relationships/chartsheet" Target="chartsheets/sheet5.xml"/><Relationship Id="rId6" Type="http://schemas.openxmlformats.org/officeDocument/2006/relationships/chartsheet" Target="chartsheets/sheet6.xml"/><Relationship Id="rId7" Type="http://schemas.openxmlformats.org/officeDocument/2006/relationships/chartsheet" Target="chartsheets/sheet7.xml"/><Relationship Id="rId8" Type="http://schemas.openxmlformats.org/officeDocument/2006/relationships/chartsheet" Target="chartsheets/sheet8.xml"/><Relationship Id="rId9" Type="http://schemas.openxmlformats.org/officeDocument/2006/relationships/worksheet" Target="worksheets/sheet1.xml"/><Relationship Id="rId10"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 Id="rId2" Type="http://schemas.microsoft.com/office/2011/relationships/chartStyle" Target="style1.xml"/><Relationship Id="rId3"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 Id="rId2" Type="http://schemas.microsoft.com/office/2011/relationships/chartStyle" Target="style2.xml"/><Relationship Id="rId3"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 Id="rId2" Type="http://schemas.microsoft.com/office/2011/relationships/chartStyle" Target="style3.xml"/><Relationship Id="rId3"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 Id="rId2" Type="http://schemas.microsoft.com/office/2011/relationships/chartStyle" Target="style4.xml"/><Relationship Id="rId3" Type="http://schemas.microsoft.com/office/2011/relationships/chartColorStyle" Target="colors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0.xml"/><Relationship Id="rId2" Type="http://schemas.microsoft.com/office/2011/relationships/chartStyle" Target="style5.xml"/><Relationship Id="rId3" Type="http://schemas.microsoft.com/office/2011/relationships/chartColorStyle" Target="colors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 Id="rId2" Type="http://schemas.microsoft.com/office/2011/relationships/chartStyle" Target="style6.xml"/><Relationship Id="rId3" Type="http://schemas.microsoft.com/office/2011/relationships/chartColorStyle" Target="colors6.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 Id="rId2" Type="http://schemas.microsoft.com/office/2011/relationships/chartStyle" Target="style7.xml"/><Relationship Id="rId3" Type="http://schemas.microsoft.com/office/2011/relationships/chartColorStyle" Target="colors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 Id="rId2" Type="http://schemas.microsoft.com/office/2011/relationships/chartStyle" Target="style8.xml"/><Relationship Id="rId3" Type="http://schemas.microsoft.com/office/2011/relationships/chartColorStyle" Target="colors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Total Trial Stores</a:t>
            </a:r>
            <a:endParaRPr lang="en-US" sz="1400">
              <a:effectLst/>
            </a:endParaRPr>
          </a:p>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Volume with Expected Core Volume</a:t>
            </a:r>
            <a:endParaRPr lang="en-US" sz="1400">
              <a:effectLst/>
            </a:endParaRPr>
          </a:p>
        </c:rich>
      </c:tx>
      <c:layout/>
      <c:overlay val="0"/>
      <c:spPr>
        <a:noFill/>
        <a:ln>
          <a:noFill/>
        </a:ln>
        <a:effectLst/>
      </c:spPr>
    </c:title>
    <c:autoTitleDeleted val="0"/>
    <c:plotArea>
      <c:layout/>
      <c:areaChart>
        <c:grouping val="stacked"/>
        <c:varyColors val="0"/>
        <c:ser>
          <c:idx val="0"/>
          <c:order val="0"/>
          <c:tx>
            <c:strRef>
              <c:f>'Off Premise Data'!$F$3</c:f>
              <c:strCache>
                <c:ptCount val="1"/>
                <c:pt idx="0">
                  <c:v>Core</c:v>
                </c:pt>
              </c:strCache>
            </c:strRef>
          </c:tx>
          <c:spPr>
            <a:solidFill>
              <a:schemeClr val="bg1"/>
            </a:solidFill>
            <a:ln>
              <a:solidFill>
                <a:schemeClr val="tx2"/>
              </a:solidFill>
            </a:ln>
            <a:effectLst/>
          </c:spP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Data'!$F$5:$F$101</c:f>
              <c:numCache>
                <c:formatCode>General</c:formatCode>
                <c:ptCount val="97"/>
                <c:pt idx="0">
                  <c:v>1.10614608E6</c:v>
                </c:pt>
                <c:pt idx="1">
                  <c:v>998985.8</c:v>
                </c:pt>
                <c:pt idx="2">
                  <c:v>1.00895799E6</c:v>
                </c:pt>
                <c:pt idx="3">
                  <c:v>1.00817202E6</c:v>
                </c:pt>
                <c:pt idx="4">
                  <c:v>1.0378474E6</c:v>
                </c:pt>
                <c:pt idx="5">
                  <c:v>1.00675782E6</c:v>
                </c:pt>
                <c:pt idx="6">
                  <c:v>981103.2300000001</c:v>
                </c:pt>
                <c:pt idx="7">
                  <c:v>970087.27</c:v>
                </c:pt>
                <c:pt idx="8">
                  <c:v>1.09327703E6</c:v>
                </c:pt>
                <c:pt idx="9">
                  <c:v>804269.9900000001</c:v>
                </c:pt>
                <c:pt idx="10">
                  <c:v>913494.7099999998</c:v>
                </c:pt>
                <c:pt idx="11">
                  <c:v>938609.0999999999</c:v>
                </c:pt>
                <c:pt idx="12">
                  <c:v>1.08787244E6</c:v>
                </c:pt>
                <c:pt idx="13">
                  <c:v>837473.34</c:v>
                </c:pt>
                <c:pt idx="14">
                  <c:v>802383.66</c:v>
                </c:pt>
                <c:pt idx="15">
                  <c:v>954018.22</c:v>
                </c:pt>
                <c:pt idx="16">
                  <c:v>1.00159923E6</c:v>
                </c:pt>
                <c:pt idx="17">
                  <c:v>890553.0800000001</c:v>
                </c:pt>
                <c:pt idx="18">
                  <c:v>922959.1100000001</c:v>
                </c:pt>
                <c:pt idx="19">
                  <c:v>847076.98</c:v>
                </c:pt>
                <c:pt idx="20">
                  <c:v>924157.21</c:v>
                </c:pt>
                <c:pt idx="21">
                  <c:v>1.01815577E6</c:v>
                </c:pt>
                <c:pt idx="22">
                  <c:v>1.09730124E6</c:v>
                </c:pt>
                <c:pt idx="23">
                  <c:v>1.09537631E6</c:v>
                </c:pt>
                <c:pt idx="24">
                  <c:v>1.14306171E6</c:v>
                </c:pt>
                <c:pt idx="25">
                  <c:v>1.13481999E6</c:v>
                </c:pt>
                <c:pt idx="26">
                  <c:v>1.1781575E6</c:v>
                </c:pt>
                <c:pt idx="27">
                  <c:v>1.06117057E6</c:v>
                </c:pt>
                <c:pt idx="28">
                  <c:v>1.16157321E6</c:v>
                </c:pt>
                <c:pt idx="29">
                  <c:v>1.11724105E6</c:v>
                </c:pt>
                <c:pt idx="30">
                  <c:v>1.14768731E6</c:v>
                </c:pt>
                <c:pt idx="31">
                  <c:v>1.15785838E6</c:v>
                </c:pt>
                <c:pt idx="32">
                  <c:v>1.22636915E6</c:v>
                </c:pt>
                <c:pt idx="33">
                  <c:v>1.19389555E6</c:v>
                </c:pt>
                <c:pt idx="34">
                  <c:v>1.33506708E6</c:v>
                </c:pt>
                <c:pt idx="35">
                  <c:v>1.03938221E6</c:v>
                </c:pt>
                <c:pt idx="36">
                  <c:v>1.15787343E6</c:v>
                </c:pt>
                <c:pt idx="37">
                  <c:v>1.24105906E6</c:v>
                </c:pt>
                <c:pt idx="38">
                  <c:v>1.23062464E6</c:v>
                </c:pt>
                <c:pt idx="39">
                  <c:v>1.3231252E6</c:v>
                </c:pt>
                <c:pt idx="40">
                  <c:v>1.15498657E6</c:v>
                </c:pt>
                <c:pt idx="41">
                  <c:v>1.14572259E6</c:v>
                </c:pt>
                <c:pt idx="42">
                  <c:v>1.12905247E6</c:v>
                </c:pt>
                <c:pt idx="43">
                  <c:v>1.11428577E6</c:v>
                </c:pt>
                <c:pt idx="44">
                  <c:v>1.17739463E6</c:v>
                </c:pt>
                <c:pt idx="45">
                  <c:v>1.18872512E6</c:v>
                </c:pt>
                <c:pt idx="46">
                  <c:v>1.25745196E6</c:v>
                </c:pt>
                <c:pt idx="47">
                  <c:v>1.22461482E6</c:v>
                </c:pt>
                <c:pt idx="48">
                  <c:v>1.44923334E6</c:v>
                </c:pt>
                <c:pt idx="49">
                  <c:v>1.00677204E6</c:v>
                </c:pt>
                <c:pt idx="50">
                  <c:v>1.15892354E6</c:v>
                </c:pt>
                <c:pt idx="51">
                  <c:v>1.10956499E6</c:v>
                </c:pt>
                <c:pt idx="52">
                  <c:v>1.12724753E6</c:v>
                </c:pt>
                <c:pt idx="53">
                  <c:v>1.09482128E6</c:v>
                </c:pt>
                <c:pt idx="54">
                  <c:v>1.10241549E6</c:v>
                </c:pt>
                <c:pt idx="55">
                  <c:v>1.09357562E6</c:v>
                </c:pt>
                <c:pt idx="56">
                  <c:v>1.10385703E6</c:v>
                </c:pt>
                <c:pt idx="57">
                  <c:v>1.11912725E6</c:v>
                </c:pt>
                <c:pt idx="58">
                  <c:v>1.06915467E6</c:v>
                </c:pt>
                <c:pt idx="59">
                  <c:v>1.07514202E6</c:v>
                </c:pt>
                <c:pt idx="60">
                  <c:v>1.16771353E6</c:v>
                </c:pt>
                <c:pt idx="61">
                  <c:v>855881.61</c:v>
                </c:pt>
                <c:pt idx="62">
                  <c:v>1.04299502E6</c:v>
                </c:pt>
                <c:pt idx="63">
                  <c:v>1.06295169E6</c:v>
                </c:pt>
                <c:pt idx="64">
                  <c:v>1.21586199E6</c:v>
                </c:pt>
                <c:pt idx="65">
                  <c:v>860370.9</c:v>
                </c:pt>
                <c:pt idx="66">
                  <c:v>948215.0700000001</c:v>
                </c:pt>
                <c:pt idx="67">
                  <c:v>1.0996223E6</c:v>
                </c:pt>
                <c:pt idx="68">
                  <c:v>1.02060886E6</c:v>
                </c:pt>
                <c:pt idx="69">
                  <c:v>1.09379526E6</c:v>
                </c:pt>
                <c:pt idx="70">
                  <c:v>1.04259261E6</c:v>
                </c:pt>
                <c:pt idx="71">
                  <c:v>970338.55</c:v>
                </c:pt>
                <c:pt idx="72">
                  <c:v>1.05914158E6</c:v>
                </c:pt>
                <c:pt idx="73">
                  <c:v>873427.3</c:v>
                </c:pt>
                <c:pt idx="74">
                  <c:v>965705.85</c:v>
                </c:pt>
                <c:pt idx="75">
                  <c:v>1.04244145E6</c:v>
                </c:pt>
                <c:pt idx="76">
                  <c:v>1.17377368E6</c:v>
                </c:pt>
                <c:pt idx="77">
                  <c:v>1.13578213E6</c:v>
                </c:pt>
                <c:pt idx="78">
                  <c:v>1.15740942E6</c:v>
                </c:pt>
                <c:pt idx="79">
                  <c:v>1.12250229E6</c:v>
                </c:pt>
                <c:pt idx="80">
                  <c:v>1.15923391E6</c:v>
                </c:pt>
                <c:pt idx="81">
                  <c:v>1.20046789E6</c:v>
                </c:pt>
                <c:pt idx="82">
                  <c:v>1.17424367E6</c:v>
                </c:pt>
                <c:pt idx="83">
                  <c:v>1.19519565E6</c:v>
                </c:pt>
                <c:pt idx="84">
                  <c:v>1.21011738E6</c:v>
                </c:pt>
                <c:pt idx="85">
                  <c:v>1.26545744E6</c:v>
                </c:pt>
                <c:pt idx="86">
                  <c:v>1.35506016E6</c:v>
                </c:pt>
                <c:pt idx="87">
                  <c:v>1.06311776E6</c:v>
                </c:pt>
                <c:pt idx="88">
                  <c:v>1.15281171E6</c:v>
                </c:pt>
                <c:pt idx="89">
                  <c:v>1.2228432E6</c:v>
                </c:pt>
                <c:pt idx="90">
                  <c:v>1.20780897E6</c:v>
                </c:pt>
                <c:pt idx="91">
                  <c:v>1.31627929E6</c:v>
                </c:pt>
                <c:pt idx="92">
                  <c:v>1.2384957E6</c:v>
                </c:pt>
                <c:pt idx="93">
                  <c:v>1.168717E6</c:v>
                </c:pt>
                <c:pt idx="94">
                  <c:v>1.21497282E6</c:v>
                </c:pt>
                <c:pt idx="95">
                  <c:v>1.28979663E6</c:v>
                </c:pt>
                <c:pt idx="96">
                  <c:v>1.28656655E6</c:v>
                </c:pt>
              </c:numCache>
              <c:extLst>
                <c:ext xmlns:c15="http://schemas.microsoft.com/office/drawing/2012/chart" uri="{02D57815-91ED-43cb-92C2-25804820EDAC}">
                  <c15:fullRef>
                    <c15:sqref>'Off Premise Data'!$F$4:$F$101</c15:sqref>
                  </c15:fullRef>
                </c:ext>
              </c:extLst>
            </c:numRef>
          </c:val>
        </c:ser>
        <c:ser>
          <c:idx val="1"/>
          <c:order val="1"/>
          <c:tx>
            <c:strRef>
              <c:f>'Off Premise Data'!$L$3</c:f>
              <c:strCache>
                <c:ptCount val="1"/>
                <c:pt idx="0">
                  <c:v>New Net Special</c:v>
                </c:pt>
              </c:strCache>
            </c:strRef>
          </c:tx>
          <c:spPr>
            <a:solidFill>
              <a:schemeClr val="accent5">
                <a:lumMod val="40000"/>
                <a:lumOff val="60000"/>
              </a:schemeClr>
            </a:solidFill>
            <a:ln>
              <a:noFill/>
            </a:ln>
            <a:effectLst/>
          </c:spP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Data'!$L$5:$L$101</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-1.18</c:v>
                </c:pt>
                <c:pt idx="61">
                  <c:v>0.0</c:v>
                </c:pt>
                <c:pt idx="62">
                  <c:v>0.0</c:v>
                </c:pt>
                <c:pt idx="63">
                  <c:v>0.0</c:v>
                </c:pt>
                <c:pt idx="64">
                  <c:v>0.0</c:v>
                </c:pt>
                <c:pt idx="65">
                  <c:v>0.0</c:v>
                </c:pt>
                <c:pt idx="66">
                  <c:v>0.0</c:v>
                </c:pt>
                <c:pt idx="67">
                  <c:v>-86688.27999999998</c:v>
                </c:pt>
                <c:pt idx="68">
                  <c:v>-85234.23</c:v>
                </c:pt>
                <c:pt idx="69">
                  <c:v>-80111.36</c:v>
                </c:pt>
                <c:pt idx="70">
                  <c:v>-83088.26</c:v>
                </c:pt>
                <c:pt idx="71">
                  <c:v>-38946.57</c:v>
                </c:pt>
                <c:pt idx="72">
                  <c:v>-16489.24999999999</c:v>
                </c:pt>
                <c:pt idx="73">
                  <c:v>186964.37</c:v>
                </c:pt>
                <c:pt idx="74">
                  <c:v>70743.22000000001</c:v>
                </c:pt>
                <c:pt idx="75">
                  <c:v>101425.15</c:v>
                </c:pt>
                <c:pt idx="76">
                  <c:v>54276.76000000001</c:v>
                </c:pt>
                <c:pt idx="77">
                  <c:v>36604.88999999998</c:v>
                </c:pt>
                <c:pt idx="78">
                  <c:v>19615.14999999999</c:v>
                </c:pt>
                <c:pt idx="79">
                  <c:v>34194.38</c:v>
                </c:pt>
                <c:pt idx="80">
                  <c:v>31505.04000000001</c:v>
                </c:pt>
                <c:pt idx="81">
                  <c:v>28058.39</c:v>
                </c:pt>
                <c:pt idx="82">
                  <c:v>29503.82000000001</c:v>
                </c:pt>
                <c:pt idx="83">
                  <c:v>24494.0</c:v>
                </c:pt>
                <c:pt idx="84">
                  <c:v>29769.16</c:v>
                </c:pt>
                <c:pt idx="85">
                  <c:v>20664.38</c:v>
                </c:pt>
                <c:pt idx="86">
                  <c:v>10734.44</c:v>
                </c:pt>
                <c:pt idx="87">
                  <c:v>-1141.610000000015</c:v>
                </c:pt>
                <c:pt idx="88">
                  <c:v>11313.5</c:v>
                </c:pt>
                <c:pt idx="89">
                  <c:v>19187.87999999999</c:v>
                </c:pt>
                <c:pt idx="90">
                  <c:v>11506.72</c:v>
                </c:pt>
                <c:pt idx="91">
                  <c:v>17741.75000000001</c:v>
                </c:pt>
                <c:pt idx="92">
                  <c:v>20003.26999999999</c:v>
                </c:pt>
                <c:pt idx="93">
                  <c:v>9157.200000000011</c:v>
                </c:pt>
                <c:pt idx="94">
                  <c:v>19101.21000000001</c:v>
                </c:pt>
                <c:pt idx="95">
                  <c:v>25285.19</c:v>
                </c:pt>
                <c:pt idx="96">
                  <c:v>23612.87999999999</c:v>
                </c:pt>
              </c:numCache>
              <c:extLst>
                <c:ext xmlns:c15="http://schemas.microsoft.com/office/drawing/2012/chart" uri="{02D57815-91ED-43cb-92C2-25804820EDAC}">
                  <c15:fullRef>
                    <c15:sqref>'Off Premise Data'!$L$4:$L$101</c15:sqref>
                  </c15:fullRef>
                </c:ext>
              </c:extLst>
            </c:numRef>
          </c:val>
        </c:ser>
        <c:ser>
          <c:idx val="2"/>
          <c:order val="2"/>
          <c:tx>
            <c:strRef>
              <c:f>'Off Premise Data'!$N$3</c:f>
              <c:strCache>
                <c:ptCount val="1"/>
                <c:pt idx="0">
                  <c:v>New Flavors</c:v>
                </c:pt>
              </c:strCache>
            </c:strRef>
          </c:tx>
          <c:spPr>
            <a:solidFill>
              <a:schemeClr val="accent4">
                <a:lumMod val="40000"/>
                <a:lumOff val="60000"/>
              </a:schemeClr>
            </a:solidFill>
            <a:ln>
              <a:noFill/>
            </a:ln>
            <a:effectLst/>
          </c:spP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Data'!$N$5:$N$101</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2.84</c:v>
                </c:pt>
                <c:pt idx="38">
                  <c:v>116.44</c:v>
                </c:pt>
                <c:pt idx="39">
                  <c:v>55065.7</c:v>
                </c:pt>
                <c:pt idx="40">
                  <c:v>20959.28</c:v>
                </c:pt>
                <c:pt idx="41">
                  <c:v>21249.48</c:v>
                </c:pt>
                <c:pt idx="42">
                  <c:v>20897.66</c:v>
                </c:pt>
                <c:pt idx="43">
                  <c:v>19088.29</c:v>
                </c:pt>
                <c:pt idx="44">
                  <c:v>8984.24</c:v>
                </c:pt>
                <c:pt idx="45">
                  <c:v>9971.74</c:v>
                </c:pt>
                <c:pt idx="46">
                  <c:v>7001.87</c:v>
                </c:pt>
                <c:pt idx="47">
                  <c:v>1789.41</c:v>
                </c:pt>
                <c:pt idx="48">
                  <c:v>387.17</c:v>
                </c:pt>
                <c:pt idx="49">
                  <c:v>16.14</c:v>
                </c:pt>
                <c:pt idx="50">
                  <c:v>10.4</c:v>
                </c:pt>
                <c:pt idx="51">
                  <c:v>27.14</c:v>
                </c:pt>
                <c:pt idx="52">
                  <c:v>-17.76</c:v>
                </c:pt>
                <c:pt idx="53">
                  <c:v>1.94</c:v>
                </c:pt>
                <c:pt idx="54">
                  <c:v>-0.96</c:v>
                </c:pt>
                <c:pt idx="55">
                  <c:v>-1.78</c:v>
                </c:pt>
                <c:pt idx="56">
                  <c:v>-0.18</c:v>
                </c:pt>
                <c:pt idx="57">
                  <c:v>-0.42</c:v>
                </c:pt>
                <c:pt idx="58">
                  <c:v>-3.02</c:v>
                </c:pt>
                <c:pt idx="59">
                  <c:v>2.78</c:v>
                </c:pt>
                <c:pt idx="60">
                  <c:v>-0.12</c:v>
                </c:pt>
                <c:pt idx="61">
                  <c:v>1.36</c:v>
                </c:pt>
                <c:pt idx="62">
                  <c:v>0.0</c:v>
                </c:pt>
                <c:pt idx="63">
                  <c:v>-0.24</c:v>
                </c:pt>
                <c:pt idx="64">
                  <c:v>2.84</c:v>
                </c:pt>
                <c:pt idx="65">
                  <c:v>-0.12</c:v>
                </c:pt>
                <c:pt idx="66">
                  <c:v>0.0</c:v>
                </c:pt>
                <c:pt idx="67">
                  <c:v>0.86</c:v>
                </c:pt>
                <c:pt idx="68">
                  <c:v>-1.13</c:v>
                </c:pt>
                <c:pt idx="69">
                  <c:v>-1.18</c:v>
                </c:pt>
                <c:pt idx="70">
                  <c:v>10.34</c:v>
                </c:pt>
                <c:pt idx="71">
                  <c:v>5392.780000000001</c:v>
                </c:pt>
                <c:pt idx="72">
                  <c:v>86279.91</c:v>
                </c:pt>
                <c:pt idx="73">
                  <c:v>488645.85</c:v>
                </c:pt>
                <c:pt idx="74">
                  <c:v>249235.95</c:v>
                </c:pt>
                <c:pt idx="75">
                  <c:v>209915.65</c:v>
                </c:pt>
                <c:pt idx="76">
                  <c:v>193378.34</c:v>
                </c:pt>
                <c:pt idx="77">
                  <c:v>169402.01</c:v>
                </c:pt>
                <c:pt idx="78">
                  <c:v>147839.54</c:v>
                </c:pt>
                <c:pt idx="79">
                  <c:v>137679.45</c:v>
                </c:pt>
                <c:pt idx="80">
                  <c:v>135588.18</c:v>
                </c:pt>
                <c:pt idx="81">
                  <c:v>129305.63</c:v>
                </c:pt>
                <c:pt idx="82">
                  <c:v>123655.32</c:v>
                </c:pt>
                <c:pt idx="83">
                  <c:v>120815.46</c:v>
                </c:pt>
                <c:pt idx="84">
                  <c:v>123647.84</c:v>
                </c:pt>
                <c:pt idx="85">
                  <c:v>122396.76</c:v>
                </c:pt>
                <c:pt idx="86">
                  <c:v>128120.06</c:v>
                </c:pt>
                <c:pt idx="87">
                  <c:v>102064.49</c:v>
                </c:pt>
                <c:pt idx="88">
                  <c:v>110457.61</c:v>
                </c:pt>
                <c:pt idx="89">
                  <c:v>121750.35</c:v>
                </c:pt>
                <c:pt idx="90">
                  <c:v>135466.69</c:v>
                </c:pt>
                <c:pt idx="91">
                  <c:v>118472.95</c:v>
                </c:pt>
                <c:pt idx="92">
                  <c:v>110467.02</c:v>
                </c:pt>
                <c:pt idx="93">
                  <c:v>102087.14</c:v>
                </c:pt>
                <c:pt idx="94">
                  <c:v>107374.91</c:v>
                </c:pt>
                <c:pt idx="95">
                  <c:v>111588.2</c:v>
                </c:pt>
                <c:pt idx="96">
                  <c:v>105920.53</c:v>
                </c:pt>
              </c:numCache>
              <c:extLst>
                <c:ext xmlns:c15="http://schemas.microsoft.com/office/drawing/2012/chart" uri="{02D57815-91ED-43cb-92C2-25804820EDAC}">
                  <c15:fullRef>
                    <c15:sqref>'Off Premise Data'!$N$4:$N$101</c15:sqref>
                  </c15:fullRef>
                </c:ext>
              </c:extLst>
            </c:numRef>
          </c:val>
        </c:ser>
        <c:ser>
          <c:idx val="4"/>
          <c:order val="4"/>
          <c:tx>
            <c:strRef>
              <c:f>'Off Premise Data'!$U$3</c:f>
              <c:strCache>
                <c:ptCount val="1"/>
                <c:pt idx="0">
                  <c:v>Other Brands</c:v>
                </c:pt>
              </c:strCache>
            </c:strRef>
          </c:tx>
          <c:spPr>
            <a:solidFill>
              <a:schemeClr val="bg1">
                <a:lumMod val="95000"/>
              </a:schemeClr>
            </a:solidFill>
            <a:ln w="9525">
              <a:noFill/>
            </a:ln>
            <a:effectLst/>
          </c:spP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Data'!$U$5:$U$101</c:f>
              <c:numCache>
                <c:formatCode>General</c:formatCode>
                <c:ptCount val="97"/>
                <c:pt idx="0">
                  <c:v>392010.5500000007</c:v>
                </c:pt>
                <c:pt idx="1">
                  <c:v>375404.6300000001</c:v>
                </c:pt>
                <c:pt idx="2">
                  <c:v>384216.6199999996</c:v>
                </c:pt>
                <c:pt idx="3">
                  <c:v>376498.7299999997</c:v>
                </c:pt>
                <c:pt idx="4">
                  <c:v>387928.9799999996</c:v>
                </c:pt>
                <c:pt idx="5">
                  <c:v>382606.0400000005</c:v>
                </c:pt>
                <c:pt idx="6">
                  <c:v>364171.89</c:v>
                </c:pt>
                <c:pt idx="7">
                  <c:v>366112.76</c:v>
                </c:pt>
                <c:pt idx="8">
                  <c:v>416847.9100000006</c:v>
                </c:pt>
                <c:pt idx="9">
                  <c:v>306613.7399999998</c:v>
                </c:pt>
                <c:pt idx="10">
                  <c:v>355779.13</c:v>
                </c:pt>
                <c:pt idx="11">
                  <c:v>346681.5199999998</c:v>
                </c:pt>
                <c:pt idx="12">
                  <c:v>394664.6400000001</c:v>
                </c:pt>
                <c:pt idx="13">
                  <c:v>314531.8800000001</c:v>
                </c:pt>
                <c:pt idx="14">
                  <c:v>299698.1600000003</c:v>
                </c:pt>
                <c:pt idx="15">
                  <c:v>350079.3299999998</c:v>
                </c:pt>
                <c:pt idx="16">
                  <c:v>353881.9400000003</c:v>
                </c:pt>
                <c:pt idx="17">
                  <c:v>328476.78</c:v>
                </c:pt>
                <c:pt idx="18">
                  <c:v>343515.4500000002</c:v>
                </c:pt>
                <c:pt idx="19">
                  <c:v>324511.9399999997</c:v>
                </c:pt>
                <c:pt idx="20">
                  <c:v>333537.96</c:v>
                </c:pt>
                <c:pt idx="21">
                  <c:v>366235.4699999997</c:v>
                </c:pt>
                <c:pt idx="22">
                  <c:v>391542.3100000001</c:v>
                </c:pt>
                <c:pt idx="23">
                  <c:v>395780.5900000001</c:v>
                </c:pt>
                <c:pt idx="24">
                  <c:v>403732.9600000004</c:v>
                </c:pt>
                <c:pt idx="25">
                  <c:v>409039.6600000004</c:v>
                </c:pt>
                <c:pt idx="26">
                  <c:v>416882.6499999997</c:v>
                </c:pt>
                <c:pt idx="27">
                  <c:v>372398.1599999999</c:v>
                </c:pt>
                <c:pt idx="28">
                  <c:v>393260.1800000002</c:v>
                </c:pt>
                <c:pt idx="29">
                  <c:v>405517.9000000001</c:v>
                </c:pt>
                <c:pt idx="30">
                  <c:v>414216.2999999998</c:v>
                </c:pt>
                <c:pt idx="31">
                  <c:v>413709.8899999999</c:v>
                </c:pt>
                <c:pt idx="32">
                  <c:v>429573.92</c:v>
                </c:pt>
                <c:pt idx="33">
                  <c:v>428135.04</c:v>
                </c:pt>
                <c:pt idx="34">
                  <c:v>489985.22</c:v>
                </c:pt>
                <c:pt idx="35">
                  <c:v>376920.3800000001</c:v>
                </c:pt>
                <c:pt idx="36">
                  <c:v>444225.1300000001</c:v>
                </c:pt>
                <c:pt idx="37">
                  <c:v>456884.55</c:v>
                </c:pt>
                <c:pt idx="38">
                  <c:v>438300.7999999998</c:v>
                </c:pt>
                <c:pt idx="39">
                  <c:v>465449.8300000001</c:v>
                </c:pt>
                <c:pt idx="40">
                  <c:v>408716.1300000001</c:v>
                </c:pt>
                <c:pt idx="41">
                  <c:v>417244.1300000001</c:v>
                </c:pt>
                <c:pt idx="42">
                  <c:v>405614.2000000002</c:v>
                </c:pt>
                <c:pt idx="43">
                  <c:v>411244.2500000002</c:v>
                </c:pt>
                <c:pt idx="44">
                  <c:v>431679.0300000003</c:v>
                </c:pt>
                <c:pt idx="45">
                  <c:v>428550.3399999996</c:v>
                </c:pt>
                <c:pt idx="46">
                  <c:v>438202.1199999999</c:v>
                </c:pt>
                <c:pt idx="47">
                  <c:v>439526.8699999999</c:v>
                </c:pt>
                <c:pt idx="48">
                  <c:v>507260.0800000001</c:v>
                </c:pt>
                <c:pt idx="49">
                  <c:v>363144.0599999996</c:v>
                </c:pt>
                <c:pt idx="50">
                  <c:v>415713.78</c:v>
                </c:pt>
                <c:pt idx="51">
                  <c:v>404729.29</c:v>
                </c:pt>
                <c:pt idx="52">
                  <c:v>401665.2799999998</c:v>
                </c:pt>
                <c:pt idx="53">
                  <c:v>392130.01</c:v>
                </c:pt>
                <c:pt idx="54">
                  <c:v>401302.55</c:v>
                </c:pt>
                <c:pt idx="55">
                  <c:v>397188.0300000003</c:v>
                </c:pt>
                <c:pt idx="56">
                  <c:v>400047.7699999998</c:v>
                </c:pt>
                <c:pt idx="57">
                  <c:v>400059.1299999997</c:v>
                </c:pt>
                <c:pt idx="58">
                  <c:v>380373.3300000003</c:v>
                </c:pt>
                <c:pt idx="59">
                  <c:v>377843.8</c:v>
                </c:pt>
                <c:pt idx="60">
                  <c:v>413288.9899999997</c:v>
                </c:pt>
                <c:pt idx="61">
                  <c:v>297727.5800000005</c:v>
                </c:pt>
                <c:pt idx="62">
                  <c:v>362211.6700000003</c:v>
                </c:pt>
                <c:pt idx="63">
                  <c:v>359758.6399999999</c:v>
                </c:pt>
                <c:pt idx="64">
                  <c:v>393716.21</c:v>
                </c:pt>
                <c:pt idx="65">
                  <c:v>273588.7299999997</c:v>
                </c:pt>
                <c:pt idx="66">
                  <c:v>301228.5699999991</c:v>
                </c:pt>
                <c:pt idx="67">
                  <c:v>444793.3900000002</c:v>
                </c:pt>
                <c:pt idx="68">
                  <c:v>405276.9199999995</c:v>
                </c:pt>
                <c:pt idx="69">
                  <c:v>390218.8399999996</c:v>
                </c:pt>
                <c:pt idx="70">
                  <c:v>394606.5499999999</c:v>
                </c:pt>
                <c:pt idx="71">
                  <c:v>321096.5499999999</c:v>
                </c:pt>
                <c:pt idx="72">
                  <c:v>335610.51</c:v>
                </c:pt>
                <c:pt idx="73">
                  <c:v>301719.3400000001</c:v>
                </c:pt>
                <c:pt idx="74">
                  <c:v>332805.5599999998</c:v>
                </c:pt>
                <c:pt idx="75">
                  <c:v>358564.8200000001</c:v>
                </c:pt>
                <c:pt idx="76">
                  <c:v>378131.0499999996</c:v>
                </c:pt>
                <c:pt idx="77">
                  <c:v>376029.7800000003</c:v>
                </c:pt>
                <c:pt idx="78">
                  <c:v>380077.3500000003</c:v>
                </c:pt>
                <c:pt idx="79">
                  <c:v>374133.9799999995</c:v>
                </c:pt>
                <c:pt idx="80">
                  <c:v>382295.4200000004</c:v>
                </c:pt>
                <c:pt idx="81">
                  <c:v>382298.2099999995</c:v>
                </c:pt>
                <c:pt idx="82">
                  <c:v>386130.8299999994</c:v>
                </c:pt>
                <c:pt idx="83">
                  <c:v>388394.3499999999</c:v>
                </c:pt>
                <c:pt idx="84">
                  <c:v>411119.4800000002</c:v>
                </c:pt>
                <c:pt idx="85">
                  <c:v>423758.2399999997</c:v>
                </c:pt>
                <c:pt idx="86">
                  <c:v>455967.3400000003</c:v>
                </c:pt>
                <c:pt idx="87">
                  <c:v>356328.42</c:v>
                </c:pt>
                <c:pt idx="88">
                  <c:v>399526.8399999996</c:v>
                </c:pt>
                <c:pt idx="89">
                  <c:v>405425.92</c:v>
                </c:pt>
                <c:pt idx="90">
                  <c:v>410714.25</c:v>
                </c:pt>
                <c:pt idx="91">
                  <c:v>437116.0000000002</c:v>
                </c:pt>
                <c:pt idx="92">
                  <c:v>420058.4799999995</c:v>
                </c:pt>
                <c:pt idx="93">
                  <c:v>409265.5499999998</c:v>
                </c:pt>
                <c:pt idx="94">
                  <c:v>406932.6499999997</c:v>
                </c:pt>
                <c:pt idx="95">
                  <c:v>404968.9099999997</c:v>
                </c:pt>
                <c:pt idx="96">
                  <c:v>425989.2699999998</c:v>
                </c:pt>
              </c:numCache>
              <c:extLst>
                <c:ext xmlns:c15="http://schemas.microsoft.com/office/drawing/2012/chart" uri="{02D57815-91ED-43cb-92C2-25804820EDAC}">
                  <c15:fullRef>
                    <c15:sqref>'Off Premise Data'!$U$4:$U$101</c15:sqref>
                  </c15:fullRef>
                </c:ext>
              </c:extLst>
            </c:numRef>
          </c:val>
        </c:ser>
        <c:dLbls>
          <c:showLegendKey val="0"/>
          <c:showVal val="0"/>
          <c:showCatName val="0"/>
          <c:showSerName val="0"/>
          <c:showPercent val="0"/>
          <c:showBubbleSize val="0"/>
        </c:dLbls>
        <c:axId val="2119126936"/>
        <c:axId val="2119130856"/>
      </c:areaChart>
      <c:lineChart>
        <c:grouping val="standard"/>
        <c:varyColors val="0"/>
        <c:ser>
          <c:idx val="3"/>
          <c:order val="3"/>
          <c:tx>
            <c:strRef>
              <c:f>'Off Premise Data'!$S$3</c:f>
              <c:strCache>
                <c:ptCount val="1"/>
                <c:pt idx="0">
                  <c:v>Expected Core Volume</c:v>
                </c:pt>
              </c:strCache>
            </c:strRef>
          </c:tx>
          <c:spPr>
            <a:ln w="28575" cap="rnd">
              <a:solidFill>
                <a:schemeClr val="tx2"/>
              </a:solidFill>
              <a:round/>
            </a:ln>
            <a:effectLst/>
          </c:spPr>
          <c:marker>
            <c:symbol val="none"/>
          </c:marke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Data'!$S$5:$S$101</c:f>
              <c:numCache>
                <c:formatCode>General</c:formatCode>
                <c:ptCount val="97"/>
                <c:pt idx="0">
                  <c:v>1.08439463827226E6</c:v>
                </c:pt>
                <c:pt idx="1">
                  <c:v>995276.5671787723</c:v>
                </c:pt>
                <c:pt idx="2">
                  <c:v>1.0093519538926E6</c:v>
                </c:pt>
                <c:pt idx="3">
                  <c:v>1.00366070319141E6</c:v>
                </c:pt>
                <c:pt idx="4">
                  <c:v>1.03393931116461E6</c:v>
                </c:pt>
                <c:pt idx="5">
                  <c:v>1.00800518229349E6</c:v>
                </c:pt>
                <c:pt idx="6">
                  <c:v>976474.5242473368</c:v>
                </c:pt>
                <c:pt idx="7">
                  <c:v>970340.6583778248</c:v>
                </c:pt>
                <c:pt idx="8">
                  <c:v>1.09715625238674E6</c:v>
                </c:pt>
                <c:pt idx="9">
                  <c:v>807471.056211171</c:v>
                </c:pt>
                <c:pt idx="10">
                  <c:v>923031.1296558648</c:v>
                </c:pt>
                <c:pt idx="11">
                  <c:v>935114.7843413686</c:v>
                </c:pt>
                <c:pt idx="12">
                  <c:v>1.07912467125511E6</c:v>
                </c:pt>
                <c:pt idx="13">
                  <c:v>838924.5079194518</c:v>
                </c:pt>
                <c:pt idx="14">
                  <c:v>802942.7046196712</c:v>
                </c:pt>
                <c:pt idx="15">
                  <c:v>950567.554286616</c:v>
                </c:pt>
                <c:pt idx="16">
                  <c:v>988481.3765128804</c:v>
                </c:pt>
                <c:pt idx="17">
                  <c:v>889388.1678036397</c:v>
                </c:pt>
                <c:pt idx="18">
                  <c:v>924432.8743242531</c:v>
                </c:pt>
                <c:pt idx="19">
                  <c:v>855570.8512993678</c:v>
                </c:pt>
                <c:pt idx="20">
                  <c:v>918877.9646384438</c:v>
                </c:pt>
                <c:pt idx="21">
                  <c:v>1.01191238746709E6</c:v>
                </c:pt>
                <c:pt idx="22">
                  <c:v>1.0887662904318E6</c:v>
                </c:pt>
                <c:pt idx="23">
                  <c:v>1.09096390924711E6</c:v>
                </c:pt>
                <c:pt idx="24">
                  <c:v>1.13219453354387E6</c:v>
                </c:pt>
                <c:pt idx="25">
                  <c:v>1.13056999643184E6</c:v>
                </c:pt>
                <c:pt idx="26">
                  <c:v>1.16859067805764E6</c:v>
                </c:pt>
                <c:pt idx="27">
                  <c:v>1.05077657694516E6</c:v>
                </c:pt>
                <c:pt idx="28">
                  <c:v>1.14018860239973E6</c:v>
                </c:pt>
                <c:pt idx="29">
                  <c:v>1.117184438015E6</c:v>
                </c:pt>
                <c:pt idx="30">
                  <c:v>1.14643314193351E6</c:v>
                </c:pt>
                <c:pt idx="31">
                  <c:v>1.15406016292241E6</c:v>
                </c:pt>
                <c:pt idx="32">
                  <c:v>1.21658148186044E6</c:v>
                </c:pt>
                <c:pt idx="33">
                  <c:v>1.19221710607436E6</c:v>
                </c:pt>
                <c:pt idx="34">
                  <c:v>1.34206033028773E6</c:v>
                </c:pt>
                <c:pt idx="35">
                  <c:v>1.04196492108273E6</c:v>
                </c:pt>
                <c:pt idx="36">
                  <c:v>1.17919739339149E6</c:v>
                </c:pt>
                <c:pt idx="37">
                  <c:v>1.25032066474548E6</c:v>
                </c:pt>
                <c:pt idx="38">
                  <c:v>1.22960239704888E6</c:v>
                </c:pt>
                <c:pt idx="39">
                  <c:v>1.35885687495908E6</c:v>
                </c:pt>
                <c:pt idx="40">
                  <c:v>1.16851400835854E6</c:v>
                </c:pt>
                <c:pt idx="41">
                  <c:v>1.16872277164331E6</c:v>
                </c:pt>
                <c:pt idx="42">
                  <c:v>1.14811320280868E6</c:v>
                </c:pt>
                <c:pt idx="43">
                  <c:v>1.14055833169628E6</c:v>
                </c:pt>
                <c:pt idx="44">
                  <c:v>1.19533566215999E6</c:v>
                </c:pt>
                <c:pt idx="45">
                  <c:v>1.20267630750302E6</c:v>
                </c:pt>
                <c:pt idx="46">
                  <c:v>1.25898755066136E6</c:v>
                </c:pt>
                <c:pt idx="47">
                  <c:v>1.23239745355426E6</c:v>
                </c:pt>
                <c:pt idx="48">
                  <c:v>1.4482956022639E6</c:v>
                </c:pt>
                <c:pt idx="49">
                  <c:v>1.01435742254844E6</c:v>
                </c:pt>
                <c:pt idx="50">
                  <c:v>1.16647189979578E6</c:v>
                </c:pt>
                <c:pt idx="51">
                  <c:v>1.1222969800061E6</c:v>
                </c:pt>
                <c:pt idx="52">
                  <c:v>1.13361652662552E6</c:v>
                </c:pt>
                <c:pt idx="53">
                  <c:v>1.10302276844687E6</c:v>
                </c:pt>
                <c:pt idx="54">
                  <c:v>1.11596836819364E6</c:v>
                </c:pt>
                <c:pt idx="55">
                  <c:v>1.10685956136715E6</c:v>
                </c:pt>
                <c:pt idx="56">
                  <c:v>1.11712800854196E6</c:v>
                </c:pt>
                <c:pt idx="57">
                  <c:v>1.12899468313845E6</c:v>
                </c:pt>
                <c:pt idx="58">
                  <c:v>1.07771737258831E6</c:v>
                </c:pt>
                <c:pt idx="59">
                  <c:v>1.08078551886732E6</c:v>
                </c:pt>
                <c:pt idx="60">
                  <c:v>1.17654232596407E6</c:v>
                </c:pt>
                <c:pt idx="61">
                  <c:v>858880.0586945074</c:v>
                </c:pt>
                <c:pt idx="62">
                  <c:v>1.04667383792533E6</c:v>
                </c:pt>
                <c:pt idx="63">
                  <c:v>1.0601939984562E6</c:v>
                </c:pt>
                <c:pt idx="64">
                  <c:v>1.19999505718285E6</c:v>
                </c:pt>
                <c:pt idx="65">
                  <c:v>845788.443530008</c:v>
                </c:pt>
                <c:pt idx="66">
                  <c:v>932348.700497967</c:v>
                </c:pt>
                <c:pt idx="67">
                  <c:v>1.08826756475068E6</c:v>
                </c:pt>
                <c:pt idx="68">
                  <c:v>1.00131789615314E6</c:v>
                </c:pt>
                <c:pt idx="69">
                  <c:v>1.04903581838708E6</c:v>
                </c:pt>
                <c:pt idx="70">
                  <c:v>1.01229793734493E6</c:v>
                </c:pt>
                <c:pt idx="71">
                  <c:v>940778.7903859463</c:v>
                </c:pt>
                <c:pt idx="72">
                  <c:v>1.09583929434185E6</c:v>
                </c:pt>
                <c:pt idx="73">
                  <c:v>1.38545063778482E6</c:v>
                </c:pt>
                <c:pt idx="74">
                  <c:v>1.21212846224914E6</c:v>
                </c:pt>
                <c:pt idx="75">
                  <c:v>1.28300090547696E6</c:v>
                </c:pt>
                <c:pt idx="76">
                  <c:v>1.34895686889976E6</c:v>
                </c:pt>
                <c:pt idx="77">
                  <c:v>1.28826629489696E6</c:v>
                </c:pt>
                <c:pt idx="78">
                  <c:v>1.2791874511224E6</c:v>
                </c:pt>
                <c:pt idx="79">
                  <c:v>1.25241972087816E6</c:v>
                </c:pt>
                <c:pt idx="80">
                  <c:v>1.28310867664962E6</c:v>
                </c:pt>
                <c:pt idx="81">
                  <c:v>1.30736000277422E6</c:v>
                </c:pt>
                <c:pt idx="82">
                  <c:v>1.28795941418475E6</c:v>
                </c:pt>
                <c:pt idx="83">
                  <c:v>1.30009553378351E6</c:v>
                </c:pt>
                <c:pt idx="84">
                  <c:v>1.33510395391479E6</c:v>
                </c:pt>
                <c:pt idx="85">
                  <c:v>1.37907637761164E6</c:v>
                </c:pt>
                <c:pt idx="86">
                  <c:v>1.46825430191418E6</c:v>
                </c:pt>
                <c:pt idx="87">
                  <c:v>1.14534838129559E6</c:v>
                </c:pt>
                <c:pt idx="88">
                  <c:v>1.26173464822379E6</c:v>
                </c:pt>
                <c:pt idx="89">
                  <c:v>1.3340076415651E6</c:v>
                </c:pt>
                <c:pt idx="90">
                  <c:v>1.33180868566347E6</c:v>
                </c:pt>
                <c:pt idx="91">
                  <c:v>1.42607512984547E6</c:v>
                </c:pt>
                <c:pt idx="92">
                  <c:v>1.35077092042573E6</c:v>
                </c:pt>
                <c:pt idx="93">
                  <c:v>1.27599364703241E6</c:v>
                </c:pt>
                <c:pt idx="94">
                  <c:v>1.32127058782693E6</c:v>
                </c:pt>
                <c:pt idx="95">
                  <c:v>1.38481046649539E6</c:v>
                </c:pt>
                <c:pt idx="96">
                  <c:v>1.39333638058742E6</c:v>
                </c:pt>
              </c:numCache>
              <c:extLst>
                <c:ext xmlns:c15="http://schemas.microsoft.com/office/drawing/2012/chart" uri="{02D57815-91ED-43cb-92C2-25804820EDAC}">
                  <c15:fullRef>
                    <c15:sqref>'Off Premise Data'!$S$4:$S$101</c15:sqref>
                  </c15:fullRef>
                </c:ext>
              </c:extLst>
            </c:numRef>
          </c:val>
          <c:smooth val="0"/>
        </c:ser>
        <c:dLbls>
          <c:showLegendKey val="0"/>
          <c:showVal val="0"/>
          <c:showCatName val="0"/>
          <c:showSerName val="0"/>
          <c:showPercent val="0"/>
          <c:showBubbleSize val="0"/>
        </c:dLbls>
        <c:marker val="1"/>
        <c:smooth val="0"/>
        <c:axId val="2119126936"/>
        <c:axId val="2119130856"/>
      </c:lineChart>
      <c:dateAx>
        <c:axId val="21191269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130856"/>
        <c:crosses val="autoZero"/>
        <c:auto val="1"/>
        <c:lblOffset val="100"/>
        <c:baseTimeUnit val="days"/>
      </c:dateAx>
      <c:valAx>
        <c:axId val="2119130856"/>
        <c:scaling>
          <c:orientation val="minMax"/>
          <c:max val="2.0E6"/>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Serving Units Cases</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126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Total Trial Stores</a:t>
            </a:r>
            <a:endParaRPr lang="en-US" sz="1400">
              <a:effectLst/>
            </a:endParaRPr>
          </a:p>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Percent of Total with Expected Core Percent of Total</a:t>
            </a:r>
            <a:endParaRPr lang="en-US" sz="1400">
              <a:effectLst/>
            </a:endParaRPr>
          </a:p>
        </c:rich>
      </c:tx>
      <c:layout/>
      <c:overlay val="0"/>
      <c:spPr>
        <a:noFill/>
        <a:ln>
          <a:noFill/>
        </a:ln>
        <a:effectLst/>
      </c:spPr>
    </c:title>
    <c:autoTitleDeleted val="0"/>
    <c:plotArea>
      <c:layout/>
      <c:areaChart>
        <c:grouping val="stacked"/>
        <c:varyColors val="0"/>
        <c:ser>
          <c:idx val="0"/>
          <c:order val="0"/>
          <c:tx>
            <c:strRef>
              <c:f>'Off Premise Data'!$G$3</c:f>
              <c:strCache>
                <c:ptCount val="1"/>
                <c:pt idx="0">
                  <c:v>Core as Percent of Total</c:v>
                </c:pt>
              </c:strCache>
            </c:strRef>
          </c:tx>
          <c:spPr>
            <a:solidFill>
              <a:schemeClr val="bg1"/>
            </a:solidFill>
            <a:ln>
              <a:solidFill>
                <a:schemeClr val="tx2"/>
              </a:solidFill>
            </a:ln>
            <a:effectLst/>
          </c:spP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Data'!$G$5:$G$101</c:f>
              <c:numCache>
                <c:formatCode>General</c:formatCode>
                <c:ptCount val="97"/>
                <c:pt idx="0">
                  <c:v>0.738338073503035</c:v>
                </c:pt>
                <c:pt idx="1">
                  <c:v>0.726857360320822</c:v>
                </c:pt>
                <c:pt idx="2">
                  <c:v>0.724215028581378</c:v>
                </c:pt>
                <c:pt idx="3">
                  <c:v>0.72809512297418</c:v>
                </c:pt>
                <c:pt idx="4">
                  <c:v>0.727917375093561</c:v>
                </c:pt>
                <c:pt idx="5">
                  <c:v>0.724617826175498</c:v>
                </c:pt>
                <c:pt idx="6">
                  <c:v>0.72929560311797</c:v>
                </c:pt>
                <c:pt idx="7">
                  <c:v>0.726004526433067</c:v>
                </c:pt>
                <c:pt idx="8">
                  <c:v>0.723964621099496</c:v>
                </c:pt>
                <c:pt idx="9">
                  <c:v>0.723991150721057</c:v>
                </c:pt>
                <c:pt idx="10">
                  <c:v>0.71969868220084</c:v>
                </c:pt>
                <c:pt idx="11">
                  <c:v>0.730269936926794</c:v>
                </c:pt>
                <c:pt idx="12">
                  <c:v>0.733791049597221</c:v>
                </c:pt>
                <c:pt idx="13">
                  <c:v>0.72697009133344</c:v>
                </c:pt>
                <c:pt idx="14">
                  <c:v>0.728061787644768</c:v>
                </c:pt>
                <c:pt idx="15">
                  <c:v>0.731554338093803</c:v>
                </c:pt>
                <c:pt idx="16">
                  <c:v>0.738925226087796</c:v>
                </c:pt>
                <c:pt idx="17">
                  <c:v>0.730542465957315</c:v>
                </c:pt>
                <c:pt idx="18">
                  <c:v>0.728762455362704</c:v>
                </c:pt>
                <c:pt idx="19">
                  <c:v>0.723015526640522</c:v>
                </c:pt>
                <c:pt idx="20">
                  <c:v>0.734802225566311</c:v>
                </c:pt>
                <c:pt idx="21">
                  <c:v>0.735453779669973</c:v>
                </c:pt>
                <c:pt idx="22">
                  <c:v>0.737015813380795</c:v>
                </c:pt>
                <c:pt idx="23">
                  <c:v>0.734581525257335</c:v>
                </c:pt>
                <c:pt idx="24">
                  <c:v>0.738987360229267</c:v>
                </c:pt>
                <c:pt idx="25">
                  <c:v>0.735053856741446</c:v>
                </c:pt>
                <c:pt idx="26">
                  <c:v>0.738638146506845</c:v>
                </c:pt>
                <c:pt idx="27">
                  <c:v>0.740229992321331</c:v>
                </c:pt>
                <c:pt idx="28">
                  <c:v>0.747072462857258</c:v>
                </c:pt>
                <c:pt idx="29">
                  <c:v>0.733695277246605</c:v>
                </c:pt>
                <c:pt idx="30">
                  <c:v>0.7348003440494</c:v>
                </c:pt>
                <c:pt idx="31">
                  <c:v>0.736753472376991</c:v>
                </c:pt>
                <c:pt idx="32">
                  <c:v>0.740586540816285</c:v>
                </c:pt>
                <c:pt idx="33">
                  <c:v>0.736049959452368</c:v>
                </c:pt>
                <c:pt idx="34">
                  <c:v>0.731522641844291</c:v>
                </c:pt>
                <c:pt idx="35">
                  <c:v>0.733870161177916</c:v>
                </c:pt>
                <c:pt idx="36">
                  <c:v>0.722722970302152</c:v>
                </c:pt>
                <c:pt idx="37">
                  <c:v>0.730917668222104</c:v>
                </c:pt>
                <c:pt idx="38">
                  <c:v>0.737324002918369</c:v>
                </c:pt>
                <c:pt idx="39">
                  <c:v>0.717669759877783</c:v>
                </c:pt>
                <c:pt idx="40">
                  <c:v>0.728853588069299</c:v>
                </c:pt>
                <c:pt idx="41">
                  <c:v>0.723211004912082</c:v>
                </c:pt>
                <c:pt idx="42">
                  <c:v>0.725815350882981</c:v>
                </c:pt>
                <c:pt idx="43">
                  <c:v>0.72139878362571</c:v>
                </c:pt>
                <c:pt idx="44">
                  <c:v>0.72765914619001</c:v>
                </c:pt>
                <c:pt idx="45">
                  <c:v>0.730512930057584</c:v>
                </c:pt>
                <c:pt idx="46">
                  <c:v>0.738523810403388</c:v>
                </c:pt>
                <c:pt idx="47">
                  <c:v>0.735093318085004</c:v>
                </c:pt>
                <c:pt idx="48">
                  <c:v>0.740583430284829</c:v>
                </c:pt>
                <c:pt idx="49">
                  <c:v>0.73490645055554</c:v>
                </c:pt>
                <c:pt idx="50">
                  <c:v>0.735989088403849</c:v>
                </c:pt>
                <c:pt idx="51">
                  <c:v>0.73271432031913</c:v>
                </c:pt>
                <c:pt idx="52">
                  <c:v>0.737295558645441</c:v>
                </c:pt>
                <c:pt idx="53">
                  <c:v>0.736284946904483</c:v>
                </c:pt>
                <c:pt idx="54">
                  <c:v>0.733126932361505</c:v>
                </c:pt>
                <c:pt idx="55">
                  <c:v>0.733568279419435</c:v>
                </c:pt>
                <c:pt idx="56">
                  <c:v>0.73399404145723</c:v>
                </c:pt>
                <c:pt idx="57">
                  <c:v>0.736662449144804</c:v>
                </c:pt>
                <c:pt idx="58">
                  <c:v>0.7375896826559</c:v>
                </c:pt>
                <c:pt idx="59">
                  <c:v>0.739952137270726</c:v>
                </c:pt>
                <c:pt idx="60">
                  <c:v>0.738591163136484</c:v>
                </c:pt>
                <c:pt idx="61">
                  <c:v>0.741915553736917</c:v>
                </c:pt>
                <c:pt idx="62">
                  <c:v>0.742236019385874</c:v>
                </c:pt>
                <c:pt idx="63">
                  <c:v>0.747131616955075</c:v>
                </c:pt>
                <c:pt idx="64">
                  <c:v>0.755390353007637</c:v>
                </c:pt>
                <c:pt idx="65">
                  <c:v>0.758731588220465</c:v>
                </c:pt>
                <c:pt idx="66">
                  <c:v>0.758909837661826</c:v>
                </c:pt>
                <c:pt idx="67">
                  <c:v>0.754339695970909</c:v>
                </c:pt>
                <c:pt idx="68">
                  <c:v>0.761278887303075</c:v>
                </c:pt>
                <c:pt idx="69">
                  <c:v>0.779111079554609</c:v>
                </c:pt>
                <c:pt idx="70">
                  <c:v>0.769940371070466</c:v>
                </c:pt>
                <c:pt idx="71">
                  <c:v>0.771407081324708</c:v>
                </c:pt>
                <c:pt idx="72">
                  <c:v>0.723189254803248</c:v>
                </c:pt>
                <c:pt idx="73">
                  <c:v>0.471929792009524</c:v>
                </c:pt>
                <c:pt idx="74">
                  <c:v>0.596670664589225</c:v>
                </c:pt>
                <c:pt idx="75">
                  <c:v>0.60877929963112</c:v>
                </c:pt>
                <c:pt idx="76">
                  <c:v>0.652255990844161</c:v>
                </c:pt>
                <c:pt idx="77">
                  <c:v>0.66117690840747</c:v>
                </c:pt>
                <c:pt idx="78">
                  <c:v>0.678855812445314</c:v>
                </c:pt>
                <c:pt idx="79">
                  <c:v>0.672757264100469</c:v>
                </c:pt>
                <c:pt idx="80">
                  <c:v>0.678461085510079</c:v>
                </c:pt>
                <c:pt idx="81">
                  <c:v>0.689872484938081</c:v>
                </c:pt>
                <c:pt idx="82">
                  <c:v>0.685276111649609</c:v>
                </c:pt>
                <c:pt idx="83">
                  <c:v>0.691304311009502</c:v>
                </c:pt>
                <c:pt idx="84">
                  <c:v>0.681889244587674</c:v>
                </c:pt>
                <c:pt idx="85">
                  <c:v>0.690647519079568</c:v>
                </c:pt>
                <c:pt idx="86">
                  <c:v>0.694944699217696</c:v>
                </c:pt>
                <c:pt idx="87">
                  <c:v>0.699249799255978</c:v>
                </c:pt>
                <c:pt idx="88">
                  <c:v>0.688611826061621</c:v>
                </c:pt>
                <c:pt idx="89">
                  <c:v>0.691181392616304</c:v>
                </c:pt>
                <c:pt idx="90">
                  <c:v>0.684118536097121</c:v>
                </c:pt>
                <c:pt idx="91">
                  <c:v>0.696587812811045</c:v>
                </c:pt>
                <c:pt idx="92">
                  <c:v>0.692274320876114</c:v>
                </c:pt>
                <c:pt idx="93">
                  <c:v>0.69186502234759</c:v>
                </c:pt>
                <c:pt idx="94">
                  <c:v>0.694912842224563</c:v>
                </c:pt>
                <c:pt idx="95">
                  <c:v>0.704176248317675</c:v>
                </c:pt>
                <c:pt idx="96">
                  <c:v>0.698427920345639</c:v>
                </c:pt>
              </c:numCache>
              <c:extLst>
                <c:ext xmlns:c15="http://schemas.microsoft.com/office/drawing/2012/chart" uri="{02D57815-91ED-43cb-92C2-25804820EDAC}">
                  <c15:fullRef>
                    <c15:sqref>'Off Premise Data'!$G$4:$G$101</c15:sqref>
                  </c15:fullRef>
                </c:ext>
              </c:extLst>
            </c:numRef>
          </c:val>
        </c:ser>
        <c:ser>
          <c:idx val="1"/>
          <c:order val="1"/>
          <c:tx>
            <c:strRef>
              <c:f>'Off Premise Data'!$M$3</c:f>
              <c:strCache>
                <c:ptCount val="1"/>
                <c:pt idx="0">
                  <c:v>New Net Special as Percent of Total</c:v>
                </c:pt>
              </c:strCache>
            </c:strRef>
          </c:tx>
          <c:spPr>
            <a:solidFill>
              <a:schemeClr val="accent5">
                <a:lumMod val="40000"/>
                <a:lumOff val="60000"/>
              </a:schemeClr>
            </a:solidFill>
            <a:ln>
              <a:noFill/>
            </a:ln>
            <a:effectLst/>
          </c:spP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Data'!$M$5:$M$101</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-7.46362485412883E-7</c:v>
                </c:pt>
                <c:pt idx="61">
                  <c:v>0.0</c:v>
                </c:pt>
                <c:pt idx="62">
                  <c:v>0.0</c:v>
                </c:pt>
                <c:pt idx="63">
                  <c:v>0.0</c:v>
                </c:pt>
                <c:pt idx="64">
                  <c:v>0.0</c:v>
                </c:pt>
                <c:pt idx="65">
                  <c:v>0.0</c:v>
                </c:pt>
                <c:pt idx="66">
                  <c:v>0.0</c:v>
                </c:pt>
                <c:pt idx="67">
                  <c:v>-0.0594680653342889</c:v>
                </c:pt>
                <c:pt idx="68">
                  <c:v>-0.0635767749209373</c:v>
                </c:pt>
                <c:pt idx="69">
                  <c:v>-0.0570633741585129</c:v>
                </c:pt>
                <c:pt idx="70">
                  <c:v>-0.0613595426654706</c:v>
                </c:pt>
                <c:pt idx="71">
                  <c:v>-0.0309620388588173</c:v>
                </c:pt>
                <c:pt idx="72">
                  <c:v>-0.011258974857511</c:v>
                </c:pt>
                <c:pt idx="73">
                  <c:v>0.101020492772886</c:v>
                </c:pt>
                <c:pt idx="74">
                  <c:v>0.0437093801312084</c:v>
                </c:pt>
                <c:pt idx="75">
                  <c:v>0.0592316544799531</c:v>
                </c:pt>
                <c:pt idx="76">
                  <c:v>0.0301611311250485</c:v>
                </c:pt>
                <c:pt idx="77">
                  <c:v>0.0213089353701977</c:v>
                </c:pt>
                <c:pt idx="78">
                  <c:v>0.0115048818157076</c:v>
                </c:pt>
                <c:pt idx="79">
                  <c:v>0.0204939604501046</c:v>
                </c:pt>
                <c:pt idx="80">
                  <c:v>0.0184388529813094</c:v>
                </c:pt>
                <c:pt idx="81">
                  <c:v>0.016124305692726</c:v>
                </c:pt>
                <c:pt idx="82">
                  <c:v>0.0172181154260852</c:v>
                </c:pt>
                <c:pt idx="83">
                  <c:v>0.0141673940947382</c:v>
                </c:pt>
                <c:pt idx="84">
                  <c:v>0.0167746289408798</c:v>
                </c:pt>
                <c:pt idx="85">
                  <c:v>0.011277979273896</c:v>
                </c:pt>
                <c:pt idx="86">
                  <c:v>0.00550517415925682</c:v>
                </c:pt>
                <c:pt idx="87">
                  <c:v>-0.000750876895640072</c:v>
                </c:pt>
                <c:pt idx="88">
                  <c:v>0.0067579205056376</c:v>
                </c:pt>
                <c:pt idx="89">
                  <c:v>0.0108454670392365</c:v>
                </c:pt>
                <c:pt idx="90">
                  <c:v>0.00651755421362656</c:v>
                </c:pt>
                <c:pt idx="91">
                  <c:v>0.00938910679658293</c:v>
                </c:pt>
                <c:pt idx="92">
                  <c:v>0.0111811047503447</c:v>
                </c:pt>
                <c:pt idx="93">
                  <c:v>0.00542094141065917</c:v>
                </c:pt>
                <c:pt idx="94">
                  <c:v>0.010925080719936</c:v>
                </c:pt>
                <c:pt idx="95">
                  <c:v>0.0138046803798825</c:v>
                </c:pt>
                <c:pt idx="96">
                  <c:v>0.0128185321402699</c:v>
                </c:pt>
              </c:numCache>
              <c:extLst>
                <c:ext xmlns:c15="http://schemas.microsoft.com/office/drawing/2012/chart" uri="{02D57815-91ED-43cb-92C2-25804820EDAC}">
                  <c15:fullRef>
                    <c15:sqref>'Off Premise Data'!$M$4:$M$101</c15:sqref>
                  </c15:fullRef>
                </c:ext>
              </c:extLst>
            </c:numRef>
          </c:val>
        </c:ser>
        <c:ser>
          <c:idx val="2"/>
          <c:order val="2"/>
          <c:tx>
            <c:strRef>
              <c:f>'Off Premise Data'!$O$3</c:f>
              <c:strCache>
                <c:ptCount val="1"/>
                <c:pt idx="0">
                  <c:v>New as Percent of Total</c:v>
                </c:pt>
              </c:strCache>
            </c:strRef>
          </c:tx>
          <c:spPr>
            <a:solidFill>
              <a:schemeClr val="accent4">
                <a:lumMod val="40000"/>
                <a:lumOff val="60000"/>
              </a:schemeClr>
            </a:solidFill>
            <a:ln>
              <a:noFill/>
            </a:ln>
            <a:effectLst/>
          </c:spPr>
          <c:cat>
            <c:numRef>
              <c:f>'Off Premise Data'!$D$5:$D$101</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'Off Premise Data'!$D$4:$D$101</c15:sqref>
                  </c15:fullRef>
                </c:ext>
              </c:extLst>
            </c:numRef>
          </c:cat>
          <c:val>
            <c:numRef>
              <c:f>'Off Premise Data'!$O$5:$O$101</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1.67260869740621E-6</c:v>
                </c:pt>
                <c:pt idx="38">
                  <c:v>6.97645765485525E-5</c:v>
                </c:pt>
                <c:pt idx="39">
                  <c:v>0.0298679124972467</c:v>
                </c:pt>
                <c:pt idx="40">
                  <c:v>0.0132263411784512</c:v>
                </c:pt>
                <c:pt idx="41">
                  <c:v>0.0134132449851226</c:v>
                </c:pt>
                <c:pt idx="42">
                  <c:v>0.0134341342218872</c:v>
                </c:pt>
                <c:pt idx="43">
                  <c:v>0.0123579332683166</c:v>
                </c:pt>
                <c:pt idx="44">
                  <c:v>0.00555248362867608</c:v>
                </c:pt>
                <c:pt idx="45">
                  <c:v>0.00612798104676413</c:v>
                </c:pt>
                <c:pt idx="46">
                  <c:v>0.00411232228096346</c:v>
                </c:pt>
                <c:pt idx="47">
                  <c:v>0.00107412005214381</c:v>
                </c:pt>
                <c:pt idx="48">
                  <c:v>0.000197850600582634</c:v>
                </c:pt>
                <c:pt idx="49">
                  <c:v>1.17816046142545E-5</c:v>
                </c:pt>
                <c:pt idx="50">
                  <c:v>6.6046518646088E-6</c:v>
                </c:pt>
                <c:pt idx="51">
                  <c:v>1.79222189170381E-5</c:v>
                </c:pt>
                <c:pt idx="52">
                  <c:v>-1.16162322587152E-5</c:v>
                </c:pt>
                <c:pt idx="53">
                  <c:v>1.30468125080168E-6</c:v>
                </c:pt>
                <c:pt idx="54">
                  <c:v>-6.38417966230722E-7</c:v>
                </c:pt>
                <c:pt idx="55">
                  <c:v>-1.19402034343688E-6</c:v>
                </c:pt>
                <c:pt idx="56">
                  <c:v>-1.19688441411929E-7</c:v>
                </c:pt>
                <c:pt idx="57">
                  <c:v>-2.76463850416311E-7</c:v>
                </c:pt>
                <c:pt idx="58">
                  <c:v>-2.08344115601236E-6</c:v>
                </c:pt>
                <c:pt idx="59">
                  <c:v>1.91329787446371E-6</c:v>
                </c:pt>
                <c:pt idx="60">
                  <c:v>-7.5901269703005E-8</c:v>
                </c:pt>
                <c:pt idx="61">
                  <c:v>1.17890738776617E-6</c:v>
                </c:pt>
                <c:pt idx="62">
                  <c:v>0.0</c:v>
                </c:pt>
                <c:pt idx="63">
                  <c:v>-1.68692133194894E-7</c:v>
                </c:pt>
                <c:pt idx="64">
                  <c:v>1.76443430273011E-6</c:v>
                </c:pt>
                <c:pt idx="65">
                  <c:v>-1.05823884311354E-7</c:v>
                </c:pt>
                <c:pt idx="66">
                  <c:v>0.0</c:v>
                </c:pt>
                <c:pt idx="67">
                  <c:v>5.89959060065426E-7</c:v>
                </c:pt>
                <c:pt idx="68">
                  <c:v>-8.42874460890409E-7</c:v>
                </c:pt>
                <c:pt idx="69">
                  <c:v>-8.40514772275059E-7</c:v>
                </c:pt>
                <c:pt idx="70">
                  <c:v>7.63594846204465E-6</c:v>
                </c:pt>
                <c:pt idx="71">
                  <c:v>0.00428719304208439</c:v>
                </c:pt>
                <c:pt idx="72">
                  <c:v>0.0589125240625444</c:v>
                </c:pt>
                <c:pt idx="73">
                  <c:v>0.26402487574732</c:v>
                </c:pt>
                <c:pt idx="74">
                  <c:v>0.153992833248371</c:v>
                </c:pt>
                <c:pt idx="75">
                  <c:v>0.122589429256301</c:v>
                </c:pt>
                <c:pt idx="76">
                  <c:v>0.107458688939506</c:v>
                </c:pt>
                <c:pt idx="77">
                  <c:v>0.0986145971937517</c:v>
                </c:pt>
                <c:pt idx="78">
                  <c:v>0.0867123848346089</c:v>
                </c:pt>
                <c:pt idx="79">
                  <c:v>0.0825164019085051</c:v>
                </c:pt>
                <c:pt idx="80">
                  <c:v>0.0793552560804023</c:v>
                </c:pt>
                <c:pt idx="81">
                  <c:v>0.0743080235861902</c:v>
                </c:pt>
                <c:pt idx="82">
                  <c:v>0.072163929037308</c:v>
                </c:pt>
                <c:pt idx="83">
                  <c:v>0.0698799801811495</c:v>
                </c:pt>
                <c:pt idx="84">
                  <c:v>0.0696743420150676</c:v>
                </c:pt>
                <c:pt idx="85">
                  <c:v>0.066800364805139</c:v>
                </c:pt>
                <c:pt idx="86">
                  <c:v>0.06570657096173</c:v>
                </c:pt>
                <c:pt idx="87">
                  <c:v>0.0671313911110504</c:v>
                </c:pt>
                <c:pt idx="88">
                  <c:v>0.0659799131676954</c:v>
                </c:pt>
                <c:pt idx="89">
                  <c:v>0.0688163261361083</c:v>
                </c:pt>
                <c:pt idx="90">
                  <c:v>0.0767300756614868</c:v>
                </c:pt>
                <c:pt idx="91">
                  <c:v>0.0626970383449338</c:v>
                </c:pt>
                <c:pt idx="92">
                  <c:v>0.0617470704579016</c:v>
                </c:pt>
                <c:pt idx="93">
                  <c:v>0.0604342380554929</c:v>
                </c:pt>
                <c:pt idx="94">
                  <c:v>0.0614138873425223</c:v>
                </c:pt>
                <c:pt idx="95">
                  <c:v>0.0609225967914976</c:v>
                </c:pt>
                <c:pt idx="96">
                  <c:v>0.0575002167511723</c:v>
                </c:pt>
              </c:numCache>
              <c:extLst>
                <c:ext xmlns:c15="http://schemas.microsoft.com/office/drawing/2012/chart" uri="{02D57815-91ED-43cb-92C2-25804820EDAC}">
                  <c15:fullRef>
                    <c15:sqref>'Off Premise Data'!$O$4:$O$101</c15:sqref>
                  </c15:fullRef>
                </c:ext>
              </c:extLst>
            </c:numRef>
          </c:val>
        </c:ser>
        <c:ser>
          <c:idx val="4"/>
          <c:order val="4"/>
          <c:tx>
            <c:strRef>
              <c:f>'Off Premise Data'!$V$3</c:f>
              <c:strCache>
                <c:ptCount val="1"/>
                <c:pt idx="0">
                  <c:v>Other Brands as Percent of Total</c:v>
                </c:pt>
              </c:strCache>
            </c:strRef>
          </c:tx>
          <c:spPr>
            <a:solidFill>
              <a:schemeClr val="bg1">
                <a:lumMod val="95000"/>
              </a:schemeClr>
            </a:solidFill>
            <a:ln>
              <a:noFill/>
            </a:ln>
            <a:effectLst/>
          </c:spPr>
          <c:cat>
            <c:numRef>
              <c:f>'Off Premise Data'!$D$6:$D$101</c:f>
              <c:numCache>
                <c:formatCode>m/d/yy</c:formatCode>
                <c:ptCount val="96"/>
                <c:pt idx="0">
                  <c:v>41547.0</c:v>
                </c:pt>
                <c:pt idx="1">
                  <c:v>41554.0</c:v>
                </c:pt>
                <c:pt idx="2">
                  <c:v>41561.0</c:v>
                </c:pt>
                <c:pt idx="3">
                  <c:v>41568.0</c:v>
                </c:pt>
                <c:pt idx="4">
                  <c:v>41575.0</c:v>
                </c:pt>
                <c:pt idx="5">
                  <c:v>41582.0</c:v>
                </c:pt>
                <c:pt idx="6">
                  <c:v>41589.0</c:v>
                </c:pt>
                <c:pt idx="7">
                  <c:v>41596.0</c:v>
                </c:pt>
                <c:pt idx="8">
                  <c:v>41603.0</c:v>
                </c:pt>
                <c:pt idx="9">
                  <c:v>41610.0</c:v>
                </c:pt>
                <c:pt idx="10">
                  <c:v>41617.0</c:v>
                </c:pt>
                <c:pt idx="11">
                  <c:v>41624.0</c:v>
                </c:pt>
                <c:pt idx="12">
                  <c:v>41631.0</c:v>
                </c:pt>
                <c:pt idx="13">
                  <c:v>41638.0</c:v>
                </c:pt>
                <c:pt idx="14">
                  <c:v>41645.0</c:v>
                </c:pt>
                <c:pt idx="15">
                  <c:v>41652.0</c:v>
                </c:pt>
                <c:pt idx="16">
                  <c:v>41659.0</c:v>
                </c:pt>
                <c:pt idx="17">
                  <c:v>41666.0</c:v>
                </c:pt>
                <c:pt idx="18">
                  <c:v>41673.0</c:v>
                </c:pt>
                <c:pt idx="19">
                  <c:v>41680.0</c:v>
                </c:pt>
                <c:pt idx="20">
                  <c:v>41687.0</c:v>
                </c:pt>
                <c:pt idx="21">
                  <c:v>41694.0</c:v>
                </c:pt>
                <c:pt idx="22">
                  <c:v>41701.0</c:v>
                </c:pt>
                <c:pt idx="23">
                  <c:v>41708.0</c:v>
                </c:pt>
                <c:pt idx="24">
                  <c:v>41715.0</c:v>
                </c:pt>
                <c:pt idx="25">
                  <c:v>41722.0</c:v>
                </c:pt>
                <c:pt idx="26">
                  <c:v>41729.0</c:v>
                </c:pt>
                <c:pt idx="27">
                  <c:v>41736.0</c:v>
                </c:pt>
                <c:pt idx="28">
                  <c:v>41743.0</c:v>
                </c:pt>
                <c:pt idx="29">
                  <c:v>41750.0</c:v>
                </c:pt>
                <c:pt idx="30">
                  <c:v>41757.0</c:v>
                </c:pt>
                <c:pt idx="31">
                  <c:v>41764.0</c:v>
                </c:pt>
                <c:pt idx="32">
                  <c:v>41771.0</c:v>
                </c:pt>
                <c:pt idx="33">
                  <c:v>41778.0</c:v>
                </c:pt>
                <c:pt idx="34">
                  <c:v>41785.0</c:v>
                </c:pt>
                <c:pt idx="35">
                  <c:v>41792.0</c:v>
                </c:pt>
                <c:pt idx="36">
                  <c:v>41799.0</c:v>
                </c:pt>
                <c:pt idx="37">
                  <c:v>41806.0</c:v>
                </c:pt>
                <c:pt idx="38">
                  <c:v>41813.0</c:v>
                </c:pt>
                <c:pt idx="39">
                  <c:v>41820.0</c:v>
                </c:pt>
                <c:pt idx="40">
                  <c:v>41827.0</c:v>
                </c:pt>
                <c:pt idx="41">
                  <c:v>41834.0</c:v>
                </c:pt>
                <c:pt idx="42">
                  <c:v>41841.0</c:v>
                </c:pt>
                <c:pt idx="43">
                  <c:v>41848.0</c:v>
                </c:pt>
                <c:pt idx="44">
                  <c:v>41855.0</c:v>
                </c:pt>
                <c:pt idx="45">
                  <c:v>41862.0</c:v>
                </c:pt>
                <c:pt idx="46">
                  <c:v>41869.0</c:v>
                </c:pt>
                <c:pt idx="47">
                  <c:v>41876.0</c:v>
                </c:pt>
                <c:pt idx="48">
                  <c:v>41883.0</c:v>
                </c:pt>
                <c:pt idx="49">
                  <c:v>41890.0</c:v>
                </c:pt>
                <c:pt idx="50">
                  <c:v>41897.0</c:v>
                </c:pt>
                <c:pt idx="51">
                  <c:v>41904.0</c:v>
                </c:pt>
                <c:pt idx="52">
                  <c:v>41911.0</c:v>
                </c:pt>
                <c:pt idx="53">
                  <c:v>41918.0</c:v>
                </c:pt>
                <c:pt idx="54">
                  <c:v>41925.0</c:v>
                </c:pt>
                <c:pt idx="55">
                  <c:v>41932.0</c:v>
                </c:pt>
                <c:pt idx="56">
                  <c:v>41939.0</c:v>
                </c:pt>
                <c:pt idx="57">
                  <c:v>41946.0</c:v>
                </c:pt>
                <c:pt idx="58">
                  <c:v>41953.0</c:v>
                </c:pt>
                <c:pt idx="59">
                  <c:v>41960.0</c:v>
                </c:pt>
                <c:pt idx="60">
                  <c:v>41967.0</c:v>
                </c:pt>
                <c:pt idx="61">
                  <c:v>41974.0</c:v>
                </c:pt>
                <c:pt idx="62">
                  <c:v>41981.0</c:v>
                </c:pt>
                <c:pt idx="63">
                  <c:v>41988.0</c:v>
                </c:pt>
                <c:pt idx="64">
                  <c:v>41995.0</c:v>
                </c:pt>
                <c:pt idx="65">
                  <c:v>42002.0</c:v>
                </c:pt>
                <c:pt idx="66">
                  <c:v>42009.0</c:v>
                </c:pt>
                <c:pt idx="67">
                  <c:v>42016.0</c:v>
                </c:pt>
                <c:pt idx="68">
                  <c:v>42023.0</c:v>
                </c:pt>
                <c:pt idx="69">
                  <c:v>42030.0</c:v>
                </c:pt>
                <c:pt idx="70">
                  <c:v>42037.0</c:v>
                </c:pt>
                <c:pt idx="71">
                  <c:v>42044.0</c:v>
                </c:pt>
                <c:pt idx="72">
                  <c:v>42051.0</c:v>
                </c:pt>
                <c:pt idx="73">
                  <c:v>42058.0</c:v>
                </c:pt>
                <c:pt idx="74">
                  <c:v>42065.0</c:v>
                </c:pt>
                <c:pt idx="75">
                  <c:v>42072.0</c:v>
                </c:pt>
                <c:pt idx="76">
                  <c:v>42079.0</c:v>
                </c:pt>
                <c:pt idx="77">
                  <c:v>42086.0</c:v>
                </c:pt>
                <c:pt idx="78">
                  <c:v>42093.0</c:v>
                </c:pt>
                <c:pt idx="79">
                  <c:v>42100.0</c:v>
                </c:pt>
                <c:pt idx="80">
                  <c:v>42107.0</c:v>
                </c:pt>
                <c:pt idx="81">
                  <c:v>42114.0</c:v>
                </c:pt>
                <c:pt idx="82">
                  <c:v>42121.0</c:v>
                </c:pt>
                <c:pt idx="83">
                  <c:v>42128.0</c:v>
                </c:pt>
                <c:pt idx="84">
                  <c:v>42135.0</c:v>
                </c:pt>
                <c:pt idx="85">
                  <c:v>42142.0</c:v>
                </c:pt>
                <c:pt idx="86">
                  <c:v>42149.0</c:v>
                </c:pt>
                <c:pt idx="87">
                  <c:v>42156.0</c:v>
                </c:pt>
                <c:pt idx="88">
                  <c:v>42163.0</c:v>
                </c:pt>
                <c:pt idx="89">
                  <c:v>42170.0</c:v>
                </c:pt>
                <c:pt idx="90">
                  <c:v>42177.0</c:v>
                </c:pt>
                <c:pt idx="91">
                  <c:v>42184.0</c:v>
                </c:pt>
                <c:pt idx="92">
                  <c:v>42191.0</c:v>
                </c:pt>
                <c:pt idx="93">
                  <c:v>42198.0</c:v>
                </c:pt>
                <c:pt idx="94">
                  <c:v>42205.0</c:v>
                </c:pt>
                <c:pt idx="95">
                  <c:v>42212.0</c:v>
                </c:pt>
              </c:numCache>
              <c:extLst>
                <c:ext xmlns:c15="http://schemas.microsoft.com/office/drawing/2012/chart" uri="{02D57815-91ED-43cb-92C2-25804820EDAC}">
                  <c15:fullRef>
                    <c15:sqref>'Off Premise Data'!$D$5:$D$101</c15:sqref>
                  </c15:fullRef>
                </c:ext>
              </c:extLst>
            </c:numRef>
          </c:cat>
          <c:val>
            <c:numRef>
              <c:f>'Off Premise Data'!$V$6:$V$101</c:f>
              <c:numCache>
                <c:formatCode>General</c:formatCode>
                <c:ptCount val="96"/>
                <c:pt idx="0">
                  <c:v>0.273142639679178</c:v>
                </c:pt>
                <c:pt idx="1">
                  <c:v>0.275784971418622</c:v>
                </c:pt>
                <c:pt idx="2">
                  <c:v>0.27190487702582</c:v>
                </c:pt>
                <c:pt idx="3">
                  <c:v>0.272082624906438</c:v>
                </c:pt>
                <c:pt idx="4">
                  <c:v>0.275382173824501</c:v>
                </c:pt>
                <c:pt idx="5">
                  <c:v>0.27070439688203</c:v>
                </c:pt>
                <c:pt idx="6">
                  <c:v>0.273995473566933</c:v>
                </c:pt>
                <c:pt idx="7">
                  <c:v>0.276035378900504</c:v>
                </c:pt>
                <c:pt idx="8">
                  <c:v>0.276008849278943</c:v>
                </c:pt>
                <c:pt idx="9">
                  <c:v>0.28030131779916</c:v>
                </c:pt>
                <c:pt idx="10">
                  <c:v>0.269730063073206</c:v>
                </c:pt>
                <c:pt idx="11">
                  <c:v>0.266208950402779</c:v>
                </c:pt>
                <c:pt idx="12">
                  <c:v>0.27302990866656</c:v>
                </c:pt>
                <c:pt idx="13">
                  <c:v>0.271938212355232</c:v>
                </c:pt>
                <c:pt idx="14">
                  <c:v>0.268445661906197</c:v>
                </c:pt>
                <c:pt idx="15">
                  <c:v>0.261074773912204</c:v>
                </c:pt>
                <c:pt idx="16">
                  <c:v>0.269457534042685</c:v>
                </c:pt>
                <c:pt idx="17">
                  <c:v>0.271237544637296</c:v>
                </c:pt>
                <c:pt idx="18">
                  <c:v>0.276984473359478</c:v>
                </c:pt>
                <c:pt idx="19">
                  <c:v>0.265197774433689</c:v>
                </c:pt>
                <c:pt idx="20">
                  <c:v>0.264546220330027</c:v>
                </c:pt>
                <c:pt idx="21">
                  <c:v>0.262984186619205</c:v>
                </c:pt>
                <c:pt idx="22">
                  <c:v>0.265418474742665</c:v>
                </c:pt>
                <c:pt idx="23">
                  <c:v>0.261012639770733</c:v>
                </c:pt>
                <c:pt idx="24">
                  <c:v>0.264946143258554</c:v>
                </c:pt>
                <c:pt idx="25">
                  <c:v>0.261361853493155</c:v>
                </c:pt>
                <c:pt idx="26">
                  <c:v>0.259770007678669</c:v>
                </c:pt>
                <c:pt idx="27">
                  <c:v>0.252927537142742</c:v>
                </c:pt>
                <c:pt idx="28">
                  <c:v>0.266304722753394</c:v>
                </c:pt>
                <c:pt idx="29">
                  <c:v>0.2651996559506</c:v>
                </c:pt>
                <c:pt idx="30">
                  <c:v>0.263246527623009</c:v>
                </c:pt>
                <c:pt idx="31">
                  <c:v>0.259413459183714</c:v>
                </c:pt>
                <c:pt idx="32">
                  <c:v>0.263950040547632</c:v>
                </c:pt>
                <c:pt idx="33">
                  <c:v>0.268477358155709</c:v>
                </c:pt>
                <c:pt idx="34">
                  <c:v>0.266129838822084</c:v>
                </c:pt>
                <c:pt idx="35">
                  <c:v>0.277277029697848</c:v>
                </c:pt>
                <c:pt idx="36">
                  <c:v>0.269080659169198</c:v>
                </c:pt>
                <c:pt idx="37">
                  <c:v>0.262606232505082</c:v>
                </c:pt>
                <c:pt idx="38">
                  <c:v>0.252462327624971</c:v>
                </c:pt>
                <c:pt idx="39">
                  <c:v>0.25792007075225</c:v>
                </c:pt>
                <c:pt idx="40">
                  <c:v>0.263375750102795</c:v>
                </c:pt>
                <c:pt idx="41">
                  <c:v>0.260750514895131</c:v>
                </c:pt>
                <c:pt idx="42">
                  <c:v>0.266243283105973</c:v>
                </c:pt>
                <c:pt idx="43">
                  <c:v>0.266788370181314</c:v>
                </c:pt>
                <c:pt idx="44">
                  <c:v>0.263359088895651</c:v>
                </c:pt>
                <c:pt idx="45">
                  <c:v>0.257363867315649</c:v>
                </c:pt>
                <c:pt idx="46">
                  <c:v>0.263832561862853</c:v>
                </c:pt>
                <c:pt idx="47">
                  <c:v>0.259218719114588</c:v>
                </c:pt>
                <c:pt idx="48">
                  <c:v>0.265081767839846</c:v>
                </c:pt>
                <c:pt idx="49">
                  <c:v>0.264004306944286</c:v>
                </c:pt>
                <c:pt idx="50">
                  <c:v>0.267267757461953</c:v>
                </c:pt>
                <c:pt idx="51">
                  <c:v>0.262716057586817</c:v>
                </c:pt>
                <c:pt idx="52">
                  <c:v>0.263713748414266</c:v>
                </c:pt>
                <c:pt idx="53">
                  <c:v>0.266873706056461</c:v>
                </c:pt>
                <c:pt idx="54">
                  <c:v>0.266432914600908</c:v>
                </c:pt>
                <c:pt idx="55">
                  <c:v>0.266006078231211</c:v>
                </c:pt>
                <c:pt idx="56">
                  <c:v>0.263337827319046</c:v>
                </c:pt>
                <c:pt idx="57">
                  <c:v>0.262412400785256</c:v>
                </c:pt>
                <c:pt idx="58">
                  <c:v>0.2600459494314</c:v>
                </c:pt>
                <c:pt idx="59">
                  <c:v>0.261409659127271</c:v>
                </c:pt>
                <c:pt idx="60">
                  <c:v>0.258083267355695</c:v>
                </c:pt>
                <c:pt idx="61">
                  <c:v>0.257763980614126</c:v>
                </c:pt>
                <c:pt idx="62">
                  <c:v>0.252868551737058</c:v>
                </c:pt>
                <c:pt idx="63">
                  <c:v>0.24460788255806</c:v>
                </c:pt>
                <c:pt idx="64">
                  <c:v>0.241268517603419</c:v>
                </c:pt>
                <c:pt idx="65">
                  <c:v>0.241090162338174</c:v>
                </c:pt>
                <c:pt idx="66">
                  <c:v>0.305127779404319</c:v>
                </c:pt>
                <c:pt idx="67">
                  <c:v>0.302298730492323</c:v>
                </c:pt>
                <c:pt idx="68">
                  <c:v>0.277953135118676</c:v>
                </c:pt>
                <c:pt idx="69">
                  <c:v>0.291411535646542</c:v>
                </c:pt>
                <c:pt idx="70">
                  <c:v>0.255267764492025</c:v>
                </c:pt>
                <c:pt idx="71">
                  <c:v>0.229157195991718</c:v>
                </c:pt>
                <c:pt idx="72">
                  <c:v>0.16302483947027</c:v>
                </c:pt>
                <c:pt idx="73">
                  <c:v>0.205627122031195</c:v>
                </c:pt>
                <c:pt idx="74">
                  <c:v>0.209399616632626</c:v>
                </c:pt>
                <c:pt idx="75">
                  <c:v>0.210124189091284</c:v>
                </c:pt>
                <c:pt idx="76">
                  <c:v>0.21889955902858</c:v>
                </c:pt>
                <c:pt idx="77">
                  <c:v>0.22292692090437</c:v>
                </c:pt>
                <c:pt idx="78">
                  <c:v>0.224232373540921</c:v>
                </c:pt>
                <c:pt idx="79">
                  <c:v>0.223744805428209</c:v>
                </c:pt>
                <c:pt idx="80">
                  <c:v>0.219695185783003</c:v>
                </c:pt>
                <c:pt idx="81">
                  <c:v>0.225341843886998</c:v>
                </c:pt>
                <c:pt idx="82">
                  <c:v>0.22464831471461</c:v>
                </c:pt>
                <c:pt idx="83">
                  <c:v>0.231661784456379</c:v>
                </c:pt>
                <c:pt idx="84">
                  <c:v>0.231274136841397</c:v>
                </c:pt>
                <c:pt idx="85">
                  <c:v>0.233843555661317</c:v>
                </c:pt>
                <c:pt idx="86">
                  <c:v>0.234369686528612</c:v>
                </c:pt>
                <c:pt idx="87">
                  <c:v>0.238650340265046</c:v>
                </c:pt>
                <c:pt idx="88">
                  <c:v>0.229156814208351</c:v>
                </c:pt>
                <c:pt idx="89">
                  <c:v>0.232633834027766</c:v>
                </c:pt>
                <c:pt idx="90">
                  <c:v>0.231326042047439</c:v>
                </c:pt>
                <c:pt idx="91">
                  <c:v>0.234797503915639</c:v>
                </c:pt>
                <c:pt idx="92">
                  <c:v>0.242279798186258</c:v>
                </c:pt>
                <c:pt idx="93">
                  <c:v>0.232748189712979</c:v>
                </c:pt>
                <c:pt idx="94">
                  <c:v>0.221096474510945</c:v>
                </c:pt>
                <c:pt idx="95">
                  <c:v>0.231253330762918</c:v>
                </c:pt>
              </c:numCache>
              <c:extLst>
                <c:ext xmlns:c15="http://schemas.microsoft.com/office/drawing/2012/chart" uri="{02D57815-91ED-43cb-92C2-25804820EDAC}">
                  <c15:fullRef>
                    <c15:sqref>'Off Premise Data'!$V$5:$V$101</c15:sqref>
                  </c15:fullRef>
                </c:ext>
              </c:extLst>
            </c:numRef>
          </c:val>
        </c:ser>
        <c:dLbls>
          <c:showLegendKey val="0"/>
          <c:showVal val="0"/>
          <c:showCatName val="0"/>
          <c:showSerName val="0"/>
          <c:showPercent val="0"/>
          <c:showBubbleSize val="0"/>
        </c:dLbls>
        <c:axId val="2089757208"/>
        <c:axId val="2089761128"/>
      </c:areaChart>
      <c:lineChart>
        <c:grouping val="standard"/>
        <c:varyColors val="0"/>
        <c:ser>
          <c:idx val="3"/>
          <c:order val="3"/>
          <c:tx>
            <c:strRef>
              <c:f>'Off Premise Data'!$T$3</c:f>
              <c:strCache>
                <c:ptCount val="1"/>
                <c:pt idx="0">
                  <c:v>Expected Core as Percent of Total</c:v>
                </c:pt>
              </c:strCache>
            </c:strRef>
          </c:tx>
          <c:spPr>
            <a:ln w="28575" cap="rnd">
              <a:solidFill>
                <a:schemeClr val="tx2"/>
              </a:solidFill>
              <a:round/>
            </a:ln>
            <a:effectLst/>
          </c:spPr>
          <c:marker>
            <c:symbol val="none"/>
          </c:marker>
          <c:cat>
            <c:numRef>
              <c:f>'Off Premise Data'!$D$6:$D$101</c:f>
              <c:numCache>
                <c:formatCode>m/d/yy</c:formatCode>
                <c:ptCount val="96"/>
                <c:pt idx="0">
                  <c:v>41547.0</c:v>
                </c:pt>
                <c:pt idx="1">
                  <c:v>41554.0</c:v>
                </c:pt>
                <c:pt idx="2">
                  <c:v>41561.0</c:v>
                </c:pt>
                <c:pt idx="3">
                  <c:v>41568.0</c:v>
                </c:pt>
                <c:pt idx="4">
                  <c:v>41575.0</c:v>
                </c:pt>
                <c:pt idx="5">
                  <c:v>41582.0</c:v>
                </c:pt>
                <c:pt idx="6">
                  <c:v>41589.0</c:v>
                </c:pt>
                <c:pt idx="7">
                  <c:v>41596.0</c:v>
                </c:pt>
                <c:pt idx="8">
                  <c:v>41603.0</c:v>
                </c:pt>
                <c:pt idx="9">
                  <c:v>41610.0</c:v>
                </c:pt>
                <c:pt idx="10">
                  <c:v>41617.0</c:v>
                </c:pt>
                <c:pt idx="11">
                  <c:v>41624.0</c:v>
                </c:pt>
                <c:pt idx="12">
                  <c:v>41631.0</c:v>
                </c:pt>
                <c:pt idx="13">
                  <c:v>41638.0</c:v>
                </c:pt>
                <c:pt idx="14">
                  <c:v>41645.0</c:v>
                </c:pt>
                <c:pt idx="15">
                  <c:v>41652.0</c:v>
                </c:pt>
                <c:pt idx="16">
                  <c:v>41659.0</c:v>
                </c:pt>
                <c:pt idx="17">
                  <c:v>41666.0</c:v>
                </c:pt>
                <c:pt idx="18">
                  <c:v>41673.0</c:v>
                </c:pt>
                <c:pt idx="19">
                  <c:v>41680.0</c:v>
                </c:pt>
                <c:pt idx="20">
                  <c:v>41687.0</c:v>
                </c:pt>
                <c:pt idx="21">
                  <c:v>41694.0</c:v>
                </c:pt>
                <c:pt idx="22">
                  <c:v>41701.0</c:v>
                </c:pt>
                <c:pt idx="23">
                  <c:v>41708.0</c:v>
                </c:pt>
                <c:pt idx="24">
                  <c:v>41715.0</c:v>
                </c:pt>
                <c:pt idx="25">
                  <c:v>41722.0</c:v>
                </c:pt>
                <c:pt idx="26">
                  <c:v>41729.0</c:v>
                </c:pt>
                <c:pt idx="27">
                  <c:v>41736.0</c:v>
                </c:pt>
                <c:pt idx="28">
                  <c:v>41743.0</c:v>
                </c:pt>
                <c:pt idx="29">
                  <c:v>41750.0</c:v>
                </c:pt>
                <c:pt idx="30">
                  <c:v>41757.0</c:v>
                </c:pt>
                <c:pt idx="31">
                  <c:v>41764.0</c:v>
                </c:pt>
                <c:pt idx="32">
                  <c:v>41771.0</c:v>
                </c:pt>
                <c:pt idx="33">
                  <c:v>41778.0</c:v>
                </c:pt>
                <c:pt idx="34">
                  <c:v>41785.0</c:v>
                </c:pt>
                <c:pt idx="35">
                  <c:v>41792.0</c:v>
                </c:pt>
                <c:pt idx="36">
                  <c:v>41799.0</c:v>
                </c:pt>
                <c:pt idx="37">
                  <c:v>41806.0</c:v>
                </c:pt>
                <c:pt idx="38">
                  <c:v>41813.0</c:v>
                </c:pt>
                <c:pt idx="39">
                  <c:v>41820.0</c:v>
                </c:pt>
                <c:pt idx="40">
                  <c:v>41827.0</c:v>
                </c:pt>
                <c:pt idx="41">
                  <c:v>41834.0</c:v>
                </c:pt>
                <c:pt idx="42">
                  <c:v>41841.0</c:v>
                </c:pt>
                <c:pt idx="43">
                  <c:v>41848.0</c:v>
                </c:pt>
                <c:pt idx="44">
                  <c:v>41855.0</c:v>
                </c:pt>
                <c:pt idx="45">
                  <c:v>41862.0</c:v>
                </c:pt>
                <c:pt idx="46">
                  <c:v>41869.0</c:v>
                </c:pt>
                <c:pt idx="47">
                  <c:v>41876.0</c:v>
                </c:pt>
                <c:pt idx="48">
                  <c:v>41883.0</c:v>
                </c:pt>
                <c:pt idx="49">
                  <c:v>41890.0</c:v>
                </c:pt>
                <c:pt idx="50">
                  <c:v>41897.0</c:v>
                </c:pt>
                <c:pt idx="51">
                  <c:v>41904.0</c:v>
                </c:pt>
                <c:pt idx="52">
                  <c:v>41911.0</c:v>
                </c:pt>
                <c:pt idx="53">
                  <c:v>41918.0</c:v>
                </c:pt>
                <c:pt idx="54">
                  <c:v>41925.0</c:v>
                </c:pt>
                <c:pt idx="55">
                  <c:v>41932.0</c:v>
                </c:pt>
                <c:pt idx="56">
                  <c:v>41939.0</c:v>
                </c:pt>
                <c:pt idx="57">
                  <c:v>41946.0</c:v>
                </c:pt>
                <c:pt idx="58">
                  <c:v>41953.0</c:v>
                </c:pt>
                <c:pt idx="59">
                  <c:v>41960.0</c:v>
                </c:pt>
                <c:pt idx="60">
                  <c:v>41967.0</c:v>
                </c:pt>
                <c:pt idx="61">
                  <c:v>41974.0</c:v>
                </c:pt>
                <c:pt idx="62">
                  <c:v>41981.0</c:v>
                </c:pt>
                <c:pt idx="63">
                  <c:v>41988.0</c:v>
                </c:pt>
                <c:pt idx="64">
                  <c:v>41995.0</c:v>
                </c:pt>
                <c:pt idx="65">
                  <c:v>42002.0</c:v>
                </c:pt>
                <c:pt idx="66">
                  <c:v>42009.0</c:v>
                </c:pt>
                <c:pt idx="67">
                  <c:v>42016.0</c:v>
                </c:pt>
                <c:pt idx="68">
                  <c:v>42023.0</c:v>
                </c:pt>
                <c:pt idx="69">
                  <c:v>42030.0</c:v>
                </c:pt>
                <c:pt idx="70">
                  <c:v>42037.0</c:v>
                </c:pt>
                <c:pt idx="71">
                  <c:v>42044.0</c:v>
                </c:pt>
                <c:pt idx="72">
                  <c:v>42051.0</c:v>
                </c:pt>
                <c:pt idx="73">
                  <c:v>42058.0</c:v>
                </c:pt>
                <c:pt idx="74">
                  <c:v>42065.0</c:v>
                </c:pt>
                <c:pt idx="75">
                  <c:v>42072.0</c:v>
                </c:pt>
                <c:pt idx="76">
                  <c:v>42079.0</c:v>
                </c:pt>
                <c:pt idx="77">
                  <c:v>42086.0</c:v>
                </c:pt>
                <c:pt idx="78">
                  <c:v>42093.0</c:v>
                </c:pt>
                <c:pt idx="79">
                  <c:v>42100.0</c:v>
                </c:pt>
                <c:pt idx="80">
                  <c:v>42107.0</c:v>
                </c:pt>
                <c:pt idx="81">
                  <c:v>42114.0</c:v>
                </c:pt>
                <c:pt idx="82">
                  <c:v>42121.0</c:v>
                </c:pt>
                <c:pt idx="83">
                  <c:v>42128.0</c:v>
                </c:pt>
                <c:pt idx="84">
                  <c:v>42135.0</c:v>
                </c:pt>
                <c:pt idx="85">
                  <c:v>42142.0</c:v>
                </c:pt>
                <c:pt idx="86">
                  <c:v>42149.0</c:v>
                </c:pt>
                <c:pt idx="87">
                  <c:v>42156.0</c:v>
                </c:pt>
                <c:pt idx="88">
                  <c:v>42163.0</c:v>
                </c:pt>
                <c:pt idx="89">
                  <c:v>42170.0</c:v>
                </c:pt>
                <c:pt idx="90">
                  <c:v>42177.0</c:v>
                </c:pt>
                <c:pt idx="91">
                  <c:v>42184.0</c:v>
                </c:pt>
                <c:pt idx="92">
                  <c:v>42191.0</c:v>
                </c:pt>
                <c:pt idx="93">
                  <c:v>42198.0</c:v>
                </c:pt>
                <c:pt idx="94">
                  <c:v>42205.0</c:v>
                </c:pt>
                <c:pt idx="95">
                  <c:v>42212.0</c:v>
                </c:pt>
              </c:numCache>
              <c:extLst>
                <c:ext xmlns:c15="http://schemas.microsoft.com/office/drawing/2012/chart" uri="{02D57815-91ED-43cb-92C2-25804820EDAC}">
                  <c15:fullRef>
                    <c15:sqref>'Off Premise Data'!$D$5:$D$101</c15:sqref>
                  </c15:fullRef>
                </c:ext>
              </c:extLst>
            </c:numRef>
          </c:cat>
          <c:val>
            <c:numRef>
              <c:f>'Off Premise Data'!$T$5:$T$101</c:f>
              <c:numCache>
                <c:formatCode>General</c:formatCode>
                <c:ptCount val="97"/>
                <c:pt idx="0">
                  <c:v>0.72381927</c:v>
                </c:pt>
                <c:pt idx="1">
                  <c:v>0.72415854</c:v>
                </c:pt>
                <c:pt idx="2">
                  <c:v>0.72449781</c:v>
                </c:pt>
                <c:pt idx="3">
                  <c:v>0.72483708</c:v>
                </c:pt>
                <c:pt idx="4">
                  <c:v>0.72517635</c:v>
                </c:pt>
                <c:pt idx="5">
                  <c:v>0.72551562</c:v>
                </c:pt>
                <c:pt idx="6">
                  <c:v>0.72585489</c:v>
                </c:pt>
                <c:pt idx="7">
                  <c:v>0.72619416</c:v>
                </c:pt>
                <c:pt idx="8">
                  <c:v>0.72653343</c:v>
                </c:pt>
                <c:pt idx="9">
                  <c:v>0.7268727</c:v>
                </c:pt>
                <c:pt idx="10">
                  <c:v>0.72721197</c:v>
                </c:pt>
                <c:pt idx="11">
                  <c:v>0.72755124</c:v>
                </c:pt>
                <c:pt idx="12">
                  <c:v>0.72789051</c:v>
                </c:pt>
                <c:pt idx="13">
                  <c:v>0.72822978</c:v>
                </c:pt>
                <c:pt idx="14">
                  <c:v>0.72856905</c:v>
                </c:pt>
                <c:pt idx="15">
                  <c:v>0.72890832</c:v>
                </c:pt>
                <c:pt idx="16">
                  <c:v>0.72924759</c:v>
                </c:pt>
                <c:pt idx="17">
                  <c:v>0.72958686</c:v>
                </c:pt>
                <c:pt idx="18">
                  <c:v>0.72992613</c:v>
                </c:pt>
                <c:pt idx="19">
                  <c:v>0.7302654</c:v>
                </c:pt>
                <c:pt idx="20">
                  <c:v>0.73060467</c:v>
                </c:pt>
                <c:pt idx="21">
                  <c:v>0.73094394</c:v>
                </c:pt>
                <c:pt idx="22">
                  <c:v>0.73128321</c:v>
                </c:pt>
                <c:pt idx="23">
                  <c:v>0.73162248</c:v>
                </c:pt>
                <c:pt idx="24">
                  <c:v>0.73196175</c:v>
                </c:pt>
                <c:pt idx="25">
                  <c:v>0.73230102</c:v>
                </c:pt>
                <c:pt idx="26">
                  <c:v>0.73264029</c:v>
                </c:pt>
                <c:pt idx="27">
                  <c:v>0.73297956</c:v>
                </c:pt>
                <c:pt idx="28">
                  <c:v>0.73331883</c:v>
                </c:pt>
                <c:pt idx="29">
                  <c:v>0.7336581</c:v>
                </c:pt>
                <c:pt idx="30">
                  <c:v>0.73399737</c:v>
                </c:pt>
                <c:pt idx="31">
                  <c:v>0.73433664</c:v>
                </c:pt>
                <c:pt idx="32">
                  <c:v>0.73467591</c:v>
                </c:pt>
                <c:pt idx="33">
                  <c:v>0.73501518</c:v>
                </c:pt>
                <c:pt idx="34">
                  <c:v>0.73535445</c:v>
                </c:pt>
                <c:pt idx="35">
                  <c:v>0.73569372</c:v>
                </c:pt>
                <c:pt idx="36">
                  <c:v>0.73603299</c:v>
                </c:pt>
                <c:pt idx="37">
                  <c:v>0.73637226</c:v>
                </c:pt>
                <c:pt idx="38">
                  <c:v>0.73671153</c:v>
                </c:pt>
                <c:pt idx="39">
                  <c:v>0.7370508</c:v>
                </c:pt>
                <c:pt idx="40">
                  <c:v>0.73739007</c:v>
                </c:pt>
                <c:pt idx="41">
                  <c:v>0.73772934</c:v>
                </c:pt>
                <c:pt idx="42">
                  <c:v>0.73806861</c:v>
                </c:pt>
                <c:pt idx="43">
                  <c:v>0.73840788</c:v>
                </c:pt>
                <c:pt idx="44">
                  <c:v>0.73874715</c:v>
                </c:pt>
                <c:pt idx="45">
                  <c:v>0.73908642</c:v>
                </c:pt>
                <c:pt idx="46">
                  <c:v>0.73942569</c:v>
                </c:pt>
                <c:pt idx="47">
                  <c:v>0.73976496</c:v>
                </c:pt>
                <c:pt idx="48">
                  <c:v>0.74010423</c:v>
                </c:pt>
                <c:pt idx="49">
                  <c:v>0.7404435</c:v>
                </c:pt>
                <c:pt idx="50">
                  <c:v>0.74078277</c:v>
                </c:pt>
                <c:pt idx="51">
                  <c:v>0.74112204</c:v>
                </c:pt>
                <c:pt idx="52">
                  <c:v>0.74146131</c:v>
                </c:pt>
                <c:pt idx="53">
                  <c:v>0.74180058</c:v>
                </c:pt>
                <c:pt idx="54">
                  <c:v>0.74213985</c:v>
                </c:pt>
                <c:pt idx="55">
                  <c:v>0.74247912</c:v>
                </c:pt>
                <c:pt idx="56">
                  <c:v>0.74281839</c:v>
                </c:pt>
                <c:pt idx="57">
                  <c:v>0.74315766</c:v>
                </c:pt>
                <c:pt idx="58">
                  <c:v>0.74349693</c:v>
                </c:pt>
                <c:pt idx="59">
                  <c:v>0.7438362</c:v>
                </c:pt>
                <c:pt idx="60">
                  <c:v>0.74417547</c:v>
                </c:pt>
                <c:pt idx="61">
                  <c:v>0.74451474</c:v>
                </c:pt>
                <c:pt idx="62">
                  <c:v>0.74485401</c:v>
                </c:pt>
                <c:pt idx="63">
                  <c:v>0.74519328</c:v>
                </c:pt>
                <c:pt idx="64">
                  <c:v>0.74553255</c:v>
                </c:pt>
                <c:pt idx="65">
                  <c:v>0.74587182</c:v>
                </c:pt>
                <c:pt idx="66">
                  <c:v>0.74621109</c:v>
                </c:pt>
                <c:pt idx="67">
                  <c:v>0.74655036</c:v>
                </c:pt>
                <c:pt idx="68">
                  <c:v>0.74688963</c:v>
                </c:pt>
                <c:pt idx="69">
                  <c:v>0.7472289</c:v>
                </c:pt>
                <c:pt idx="70">
                  <c:v>0.74756817</c:v>
                </c:pt>
                <c:pt idx="71">
                  <c:v>0.74790744</c:v>
                </c:pt>
                <c:pt idx="72">
                  <c:v>0.74824671</c:v>
                </c:pt>
                <c:pt idx="73">
                  <c:v>0.74858598</c:v>
                </c:pt>
                <c:pt idx="74">
                  <c:v>0.74892525</c:v>
                </c:pt>
                <c:pt idx="75">
                  <c:v>0.74926452</c:v>
                </c:pt>
                <c:pt idx="76">
                  <c:v>0.74960379</c:v>
                </c:pt>
                <c:pt idx="77">
                  <c:v>0.74994306</c:v>
                </c:pt>
                <c:pt idx="78">
                  <c:v>0.75028233</c:v>
                </c:pt>
                <c:pt idx="79">
                  <c:v>0.7506216</c:v>
                </c:pt>
                <c:pt idx="80">
                  <c:v>0.75096087</c:v>
                </c:pt>
                <c:pt idx="81">
                  <c:v>0.75130014</c:v>
                </c:pt>
                <c:pt idx="82">
                  <c:v>0.75163941</c:v>
                </c:pt>
                <c:pt idx="83">
                  <c:v>0.75197868</c:v>
                </c:pt>
                <c:pt idx="84">
                  <c:v>0.75231795</c:v>
                </c:pt>
                <c:pt idx="85">
                  <c:v>0.75265722</c:v>
                </c:pt>
                <c:pt idx="86">
                  <c:v>0.75299649</c:v>
                </c:pt>
                <c:pt idx="87">
                  <c:v>0.75333576</c:v>
                </c:pt>
                <c:pt idx="88">
                  <c:v>0.75367503</c:v>
                </c:pt>
                <c:pt idx="89">
                  <c:v>0.7540143</c:v>
                </c:pt>
                <c:pt idx="90">
                  <c:v>0.75435357</c:v>
                </c:pt>
                <c:pt idx="91">
                  <c:v>0.75469284</c:v>
                </c:pt>
                <c:pt idx="92">
                  <c:v>0.75503211</c:v>
                </c:pt>
                <c:pt idx="93">
                  <c:v>0.75537138</c:v>
                </c:pt>
                <c:pt idx="94">
                  <c:v>0.75571065</c:v>
                </c:pt>
                <c:pt idx="95">
                  <c:v>0.75604992</c:v>
                </c:pt>
                <c:pt idx="96">
                  <c:v>0.75638919</c:v>
                </c:pt>
              </c:numCache>
              <c:extLst>
                <c:ext xmlns:c15="http://schemas.microsoft.com/office/drawing/2012/chart" uri="{02D57815-91ED-43cb-92C2-25804820EDAC}">
                  <c15:fullRef>
                    <c15:sqref>'Off Premise Data'!$T$4:$T$101</c15:sqref>
                  </c15:fullRef>
                </c:ext>
              </c:extLst>
            </c:numRef>
          </c:val>
          <c:smooth val="0"/>
        </c:ser>
        <c:dLbls>
          <c:showLegendKey val="0"/>
          <c:showVal val="0"/>
          <c:showCatName val="0"/>
          <c:showSerName val="0"/>
          <c:showPercent val="0"/>
          <c:showBubbleSize val="0"/>
        </c:dLbls>
        <c:marker val="1"/>
        <c:smooth val="0"/>
        <c:axId val="2089757208"/>
        <c:axId val="2089761128"/>
      </c:lineChart>
      <c:dateAx>
        <c:axId val="208975720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9761128"/>
        <c:crosses val="autoZero"/>
        <c:auto val="1"/>
        <c:lblOffset val="100"/>
        <c:baseTimeUnit val="days"/>
      </c:dateAx>
      <c:valAx>
        <c:axId val="2089761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 of Total</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9757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Convenience</a:t>
            </a:r>
          </a:p>
          <a:p>
            <a:pPr>
              <a:defRPr sz="1400" b="0" i="0" u="none" strike="noStrike" kern="1200" spc="0" baseline="0">
                <a:solidFill>
                  <a:schemeClr val="tx1">
                    <a:lumMod val="65000"/>
                    <a:lumOff val="35000"/>
                  </a:schemeClr>
                </a:solidFill>
                <a:latin typeface="+mn-lt"/>
                <a:ea typeface="+mn-ea"/>
                <a:cs typeface="+mn-cs"/>
              </a:defRPr>
            </a:pPr>
            <a:r>
              <a:rPr lang="en-US"/>
              <a:t>Volume</a:t>
            </a:r>
            <a:r>
              <a:rPr lang="en-US" baseline="0"/>
              <a:t> with Expected Core Volume</a:t>
            </a:r>
            <a:endParaRPr lang="en-US"/>
          </a:p>
        </c:rich>
      </c:tx>
      <c:layout/>
      <c:overlay val="0"/>
      <c:spPr>
        <a:noFill/>
        <a:ln>
          <a:noFill/>
        </a:ln>
        <a:effectLst/>
      </c:spPr>
    </c:title>
    <c:autoTitleDeleted val="0"/>
    <c:plotArea>
      <c:layout/>
      <c:areaChart>
        <c:grouping val="stacked"/>
        <c:varyColors val="0"/>
        <c:ser>
          <c:idx val="0"/>
          <c:order val="0"/>
          <c:tx>
            <c:strRef>
              <c:f>'Convenience Data'!$F$3</c:f>
              <c:strCache>
                <c:ptCount val="1"/>
                <c:pt idx="0">
                  <c:v>Core</c:v>
                </c:pt>
              </c:strCache>
            </c:strRef>
          </c:tx>
          <c:spPr>
            <a:solidFill>
              <a:sysClr val="window" lastClr="FFFFFF">
                <a:lumMod val="100000"/>
              </a:sysClr>
            </a:solidFill>
            <a:ln w="9525" cap="flat" cmpd="sng" algn="ctr">
              <a:solidFill>
                <a:srgbClr val="44546A">
                  <a:lumMod val="100000"/>
                </a:srgbClr>
              </a:solidFill>
              <a:prstDash val="solid"/>
              <a:round/>
              <a:headEnd type="none" w="med" len="med"/>
              <a:tailEnd type="none" w="med" len="med"/>
            </a:ln>
            <a:effectLst/>
          </c:spP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Data'!$F$7:$F$103</c:f>
              <c:numCache>
                <c:formatCode>General</c:formatCode>
                <c:ptCount val="97"/>
                <c:pt idx="0">
                  <c:v>627225.0699999998</c:v>
                </c:pt>
                <c:pt idx="1">
                  <c:v>608655.6700000002</c:v>
                </c:pt>
                <c:pt idx="2">
                  <c:v>585855.48</c:v>
                </c:pt>
                <c:pt idx="3">
                  <c:v>586291.77</c:v>
                </c:pt>
                <c:pt idx="4">
                  <c:v>596425.96</c:v>
                </c:pt>
                <c:pt idx="5">
                  <c:v>598855.02</c:v>
                </c:pt>
                <c:pt idx="6">
                  <c:v>565915.86</c:v>
                </c:pt>
                <c:pt idx="7">
                  <c:v>564507.49</c:v>
                </c:pt>
                <c:pt idx="8">
                  <c:v>659622.32</c:v>
                </c:pt>
                <c:pt idx="9">
                  <c:v>459474.5</c:v>
                </c:pt>
                <c:pt idx="10">
                  <c:v>516804.11</c:v>
                </c:pt>
                <c:pt idx="11">
                  <c:v>514672.52</c:v>
                </c:pt>
                <c:pt idx="12">
                  <c:v>615385.6000000001</c:v>
                </c:pt>
                <c:pt idx="13">
                  <c:v>484013.62</c:v>
                </c:pt>
                <c:pt idx="14">
                  <c:v>462122.08</c:v>
                </c:pt>
                <c:pt idx="15">
                  <c:v>526358.51</c:v>
                </c:pt>
                <c:pt idx="16">
                  <c:v>523011.74</c:v>
                </c:pt>
                <c:pt idx="17">
                  <c:v>505183.33</c:v>
                </c:pt>
                <c:pt idx="18">
                  <c:v>522112.5</c:v>
                </c:pt>
                <c:pt idx="19">
                  <c:v>473059.6</c:v>
                </c:pt>
                <c:pt idx="20">
                  <c:v>494590.1200000001</c:v>
                </c:pt>
                <c:pt idx="21">
                  <c:v>574216.71</c:v>
                </c:pt>
                <c:pt idx="22">
                  <c:v>634772.51</c:v>
                </c:pt>
                <c:pt idx="23">
                  <c:v>670476.1900000001</c:v>
                </c:pt>
                <c:pt idx="24">
                  <c:v>667610.9900000001</c:v>
                </c:pt>
                <c:pt idx="25">
                  <c:v>659664.67</c:v>
                </c:pt>
                <c:pt idx="26">
                  <c:v>692703.17</c:v>
                </c:pt>
                <c:pt idx="27">
                  <c:v>602094.02</c:v>
                </c:pt>
                <c:pt idx="28">
                  <c:v>621319.5699999999</c:v>
                </c:pt>
                <c:pt idx="29">
                  <c:v>637019.8199999999</c:v>
                </c:pt>
                <c:pt idx="30">
                  <c:v>646427.99</c:v>
                </c:pt>
                <c:pt idx="31">
                  <c:v>665698.42</c:v>
                </c:pt>
                <c:pt idx="32">
                  <c:v>721723.83</c:v>
                </c:pt>
                <c:pt idx="33">
                  <c:v>694634.04</c:v>
                </c:pt>
                <c:pt idx="34">
                  <c:v>768493.04</c:v>
                </c:pt>
                <c:pt idx="35">
                  <c:v>589945.03</c:v>
                </c:pt>
                <c:pt idx="36">
                  <c:v>663276.73</c:v>
                </c:pt>
                <c:pt idx="37">
                  <c:v>681421.2200000001</c:v>
                </c:pt>
                <c:pt idx="38">
                  <c:v>697302.6800000001</c:v>
                </c:pt>
                <c:pt idx="39">
                  <c:v>774225.6099999999</c:v>
                </c:pt>
                <c:pt idx="40">
                  <c:v>656577.7200000001</c:v>
                </c:pt>
                <c:pt idx="41">
                  <c:v>623420.24</c:v>
                </c:pt>
                <c:pt idx="42">
                  <c:v>634247.0299999999</c:v>
                </c:pt>
                <c:pt idx="43">
                  <c:v>664018.64</c:v>
                </c:pt>
                <c:pt idx="44">
                  <c:v>693218.76</c:v>
                </c:pt>
                <c:pt idx="45">
                  <c:v>711770.82</c:v>
                </c:pt>
                <c:pt idx="46">
                  <c:v>705182.6</c:v>
                </c:pt>
                <c:pt idx="47">
                  <c:v>707836.8099999999</c:v>
                </c:pt>
                <c:pt idx="48">
                  <c:v>821757.47</c:v>
                </c:pt>
                <c:pt idx="49">
                  <c:v>588541.58</c:v>
                </c:pt>
                <c:pt idx="50">
                  <c:v>656999.52</c:v>
                </c:pt>
                <c:pt idx="51">
                  <c:v>642771.66</c:v>
                </c:pt>
                <c:pt idx="52">
                  <c:v>658631.6</c:v>
                </c:pt>
                <c:pt idx="53">
                  <c:v>648663.58</c:v>
                </c:pt>
                <c:pt idx="54">
                  <c:v>639400.5099999999</c:v>
                </c:pt>
                <c:pt idx="55">
                  <c:v>631977.33</c:v>
                </c:pt>
                <c:pt idx="56">
                  <c:v>637320.75</c:v>
                </c:pt>
                <c:pt idx="57">
                  <c:v>660594.1699999999</c:v>
                </c:pt>
                <c:pt idx="58">
                  <c:v>601903.49</c:v>
                </c:pt>
                <c:pt idx="59">
                  <c:v>608600.1699999999</c:v>
                </c:pt>
                <c:pt idx="60">
                  <c:v>674049.09</c:v>
                </c:pt>
                <c:pt idx="61">
                  <c:v>474975.83</c:v>
                </c:pt>
                <c:pt idx="62">
                  <c:v>580239.05</c:v>
                </c:pt>
                <c:pt idx="63">
                  <c:v>604379.65</c:v>
                </c:pt>
                <c:pt idx="64">
                  <c:v>701828.58</c:v>
                </c:pt>
                <c:pt idx="65">
                  <c:v>491154.01</c:v>
                </c:pt>
                <c:pt idx="66">
                  <c:v>530667.93</c:v>
                </c:pt>
                <c:pt idx="67">
                  <c:v>587627.7000000001</c:v>
                </c:pt>
                <c:pt idx="68">
                  <c:v>549633.93</c:v>
                </c:pt>
                <c:pt idx="69">
                  <c:v>562893.8099999999</c:v>
                </c:pt>
                <c:pt idx="70">
                  <c:v>592248.73</c:v>
                </c:pt>
                <c:pt idx="71">
                  <c:v>545187.22</c:v>
                </c:pt>
                <c:pt idx="72">
                  <c:v>579742.01</c:v>
                </c:pt>
                <c:pt idx="73">
                  <c:v>472660.34</c:v>
                </c:pt>
                <c:pt idx="74">
                  <c:v>535640.5199999999</c:v>
                </c:pt>
                <c:pt idx="75">
                  <c:v>585705.45</c:v>
                </c:pt>
                <c:pt idx="76">
                  <c:v>617236.9</c:v>
                </c:pt>
                <c:pt idx="77">
                  <c:v>636886.25</c:v>
                </c:pt>
                <c:pt idx="78">
                  <c:v>642031.5</c:v>
                </c:pt>
                <c:pt idx="79">
                  <c:v>661551.52</c:v>
                </c:pt>
                <c:pt idx="80">
                  <c:v>678374.78</c:v>
                </c:pt>
                <c:pt idx="81">
                  <c:v>664996.44</c:v>
                </c:pt>
                <c:pt idx="82">
                  <c:v>664044.29</c:v>
                </c:pt>
                <c:pt idx="83">
                  <c:v>668747.6800000001</c:v>
                </c:pt>
                <c:pt idx="84">
                  <c:v>692886.71</c:v>
                </c:pt>
                <c:pt idx="85">
                  <c:v>689709.42</c:v>
                </c:pt>
                <c:pt idx="86">
                  <c:v>770374.2100000001</c:v>
                </c:pt>
                <c:pt idx="87">
                  <c:v>608975.55</c:v>
                </c:pt>
                <c:pt idx="88">
                  <c:v>678696.85</c:v>
                </c:pt>
                <c:pt idx="89">
                  <c:v>703966.77</c:v>
                </c:pt>
                <c:pt idx="90">
                  <c:v>699904.38</c:v>
                </c:pt>
                <c:pt idx="91">
                  <c:v>779908.36</c:v>
                </c:pt>
                <c:pt idx="92">
                  <c:v>718706.71</c:v>
                </c:pt>
                <c:pt idx="93">
                  <c:v>641151.11</c:v>
                </c:pt>
                <c:pt idx="94">
                  <c:v>663273.7200000001</c:v>
                </c:pt>
                <c:pt idx="95">
                  <c:v>683637.5</c:v>
                </c:pt>
                <c:pt idx="96">
                  <c:v>719359.53</c:v>
                </c:pt>
              </c:numCache>
              <c:extLst>
                <c:ext xmlns:c15="http://schemas.microsoft.com/office/drawing/2012/chart" uri="{02D57815-91ED-43cb-92C2-25804820EDAC}">
                  <c15:fullRef>
                    <c15:sqref>'Convenience Data'!$F$4:$F$103</c15:sqref>
                  </c15:fullRef>
                </c:ext>
              </c:extLst>
            </c:numRef>
          </c:val>
        </c:ser>
        <c:ser>
          <c:idx val="1"/>
          <c:order val="1"/>
          <c:tx>
            <c:strRef>
              <c:f>'Convenience Data'!$L$3</c:f>
              <c:strCache>
                <c:ptCount val="1"/>
                <c:pt idx="0">
                  <c:v>New Net Blue/Red</c:v>
                </c:pt>
              </c:strCache>
            </c:strRef>
          </c:tx>
          <c:spPr>
            <a:solidFill>
              <a:srgbClr val="4472C4">
                <a:lumMod val="40000"/>
                <a:lumOff val="60000"/>
              </a:srgbClr>
            </a:solidFill>
            <a:ln>
              <a:noFill/>
            </a:ln>
            <a:effectLst/>
          </c:spP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Data'!$L$7:$L$103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-1.42</c:v>
                </c:pt>
                <c:pt idx="68">
                  <c:v>0.0</c:v>
                </c:pt>
                <c:pt idx="69">
                  <c:v>-0.95</c:v>
                </c:pt>
                <c:pt idx="70">
                  <c:v>0.0</c:v>
                </c:pt>
                <c:pt idx="71">
                  <c:v>16308.23</c:v>
                </c:pt>
                <c:pt idx="72">
                  <c:v>17051.2</c:v>
                </c:pt>
                <c:pt idx="73">
                  <c:v>182955.62</c:v>
                </c:pt>
                <c:pt idx="74">
                  <c:v>97572.27</c:v>
                </c:pt>
                <c:pt idx="75">
                  <c:v>99046.74000000001</c:v>
                </c:pt>
                <c:pt idx="76">
                  <c:v>91564.97</c:v>
                </c:pt>
                <c:pt idx="77">
                  <c:v>91111.24000000001</c:v>
                </c:pt>
                <c:pt idx="78">
                  <c:v>86453.67</c:v>
                </c:pt>
                <c:pt idx="79">
                  <c:v>83727.14</c:v>
                </c:pt>
                <c:pt idx="80">
                  <c:v>83238.35</c:v>
                </c:pt>
                <c:pt idx="81">
                  <c:v>84446.0</c:v>
                </c:pt>
                <c:pt idx="82">
                  <c:v>80372.58</c:v>
                </c:pt>
                <c:pt idx="83">
                  <c:v>79208.07</c:v>
                </c:pt>
                <c:pt idx="84">
                  <c:v>83592.0</c:v>
                </c:pt>
                <c:pt idx="85">
                  <c:v>83815.05</c:v>
                </c:pt>
                <c:pt idx="86">
                  <c:v>89738.89</c:v>
                </c:pt>
                <c:pt idx="87">
                  <c:v>68811.53</c:v>
                </c:pt>
                <c:pt idx="88">
                  <c:v>78084.88</c:v>
                </c:pt>
                <c:pt idx="89">
                  <c:v>80545.86</c:v>
                </c:pt>
                <c:pt idx="90">
                  <c:v>80584.26</c:v>
                </c:pt>
                <c:pt idx="91">
                  <c:v>84417.44</c:v>
                </c:pt>
                <c:pt idx="92">
                  <c:v>77329.40000000001</c:v>
                </c:pt>
                <c:pt idx="93">
                  <c:v>70028.07</c:v>
                </c:pt>
                <c:pt idx="94">
                  <c:v>74021.72000000001</c:v>
                </c:pt>
                <c:pt idx="95">
                  <c:v>78624.6</c:v>
                </c:pt>
                <c:pt idx="96">
                  <c:v>79171.49</c:v>
                </c:pt>
              </c:numCache>
              <c:extLst>
                <c:ext xmlns:c15="http://schemas.microsoft.com/office/drawing/2012/chart" uri="{02D57815-91ED-43cb-92C2-25804820EDAC}">
                  <c15:fullRef>
                    <c15:sqref>'Convenience Data'!$L$4:$L$103</c15:sqref>
                  </c15:fullRef>
                </c:ext>
              </c:extLst>
            </c:numRef>
          </c:val>
        </c:ser>
        <c:ser>
          <c:idx val="2"/>
          <c:order val="2"/>
          <c:tx>
            <c:strRef>
              <c:f>'Convenience Data'!$N$3</c:f>
              <c:strCache>
                <c:ptCount val="1"/>
                <c:pt idx="0">
                  <c:v>New Flavors</c:v>
                </c:pt>
              </c:strCache>
            </c:strRef>
          </c:tx>
          <c:spPr>
            <a:solidFill>
              <a:srgbClr val="FFC000">
                <a:lumMod val="40000"/>
                <a:lumOff val="60000"/>
              </a:srgbClr>
            </a:solidFill>
            <a:ln>
              <a:noFill/>
            </a:ln>
            <a:effectLst/>
          </c:spP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Data'!$N$7:$N$103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89.46</c:v>
                </c:pt>
                <c:pt idx="39">
                  <c:v>55021.68</c:v>
                </c:pt>
                <c:pt idx="40">
                  <c:v>20929.46</c:v>
                </c:pt>
                <c:pt idx="41">
                  <c:v>21216.88</c:v>
                </c:pt>
                <c:pt idx="42">
                  <c:v>20865.06</c:v>
                </c:pt>
                <c:pt idx="43">
                  <c:v>19072.55</c:v>
                </c:pt>
                <c:pt idx="44">
                  <c:v>8951.7</c:v>
                </c:pt>
                <c:pt idx="45">
                  <c:v>9964.82</c:v>
                </c:pt>
                <c:pt idx="46">
                  <c:v>7004.77</c:v>
                </c:pt>
                <c:pt idx="47">
                  <c:v>1688.71</c:v>
                </c:pt>
                <c:pt idx="48">
                  <c:v>387.29</c:v>
                </c:pt>
                <c:pt idx="49">
                  <c:v>13.3</c:v>
                </c:pt>
                <c:pt idx="50">
                  <c:v>10.4</c:v>
                </c:pt>
                <c:pt idx="51">
                  <c:v>27.14</c:v>
                </c:pt>
                <c:pt idx="52">
                  <c:v>-16.28</c:v>
                </c:pt>
                <c:pt idx="53">
                  <c:v>2.0</c:v>
                </c:pt>
                <c:pt idx="54">
                  <c:v>-0.96</c:v>
                </c:pt>
                <c:pt idx="55">
                  <c:v>-1.78</c:v>
                </c:pt>
                <c:pt idx="56">
                  <c:v>-0.18</c:v>
                </c:pt>
                <c:pt idx="57">
                  <c:v>-0.42</c:v>
                </c:pt>
                <c:pt idx="58">
                  <c:v>-3.02</c:v>
                </c:pt>
                <c:pt idx="59">
                  <c:v>2.78</c:v>
                </c:pt>
                <c:pt idx="60">
                  <c:v>-0.12</c:v>
                </c:pt>
                <c:pt idx="61">
                  <c:v>1.36</c:v>
                </c:pt>
                <c:pt idx="62">
                  <c:v>0.0</c:v>
                </c:pt>
                <c:pt idx="63">
                  <c:v>-0.06</c:v>
                </c:pt>
                <c:pt idx="64">
                  <c:v>2.84</c:v>
                </c:pt>
                <c:pt idx="65">
                  <c:v>-0.12</c:v>
                </c:pt>
                <c:pt idx="66">
                  <c:v>0.0</c:v>
                </c:pt>
                <c:pt idx="67">
                  <c:v>-0.56</c:v>
                </c:pt>
                <c:pt idx="68">
                  <c:v>-0.78</c:v>
                </c:pt>
                <c:pt idx="69">
                  <c:v>-1.18</c:v>
                </c:pt>
                <c:pt idx="70">
                  <c:v>-1.89</c:v>
                </c:pt>
                <c:pt idx="71">
                  <c:v>429.52</c:v>
                </c:pt>
                <c:pt idx="72">
                  <c:v>13960.84</c:v>
                </c:pt>
                <c:pt idx="73">
                  <c:v>318527.49</c:v>
                </c:pt>
                <c:pt idx="74">
                  <c:v>158025.23</c:v>
                </c:pt>
                <c:pt idx="75">
                  <c:v>138073.89</c:v>
                </c:pt>
                <c:pt idx="76">
                  <c:v>119956.44</c:v>
                </c:pt>
                <c:pt idx="77">
                  <c:v>106530.43</c:v>
                </c:pt>
                <c:pt idx="78">
                  <c:v>95190.05</c:v>
                </c:pt>
                <c:pt idx="79">
                  <c:v>86558.32</c:v>
                </c:pt>
                <c:pt idx="80">
                  <c:v>85177.22999999998</c:v>
                </c:pt>
                <c:pt idx="81">
                  <c:v>81144.82</c:v>
                </c:pt>
                <c:pt idx="82">
                  <c:v>75365.28</c:v>
                </c:pt>
                <c:pt idx="83">
                  <c:v>74796.62</c:v>
                </c:pt>
                <c:pt idx="84">
                  <c:v>75837.4</c:v>
                </c:pt>
                <c:pt idx="85">
                  <c:v>74616.13</c:v>
                </c:pt>
                <c:pt idx="86">
                  <c:v>79448.76000000001</c:v>
                </c:pt>
                <c:pt idx="87">
                  <c:v>60078.12</c:v>
                </c:pt>
                <c:pt idx="88">
                  <c:v>68096.22</c:v>
                </c:pt>
                <c:pt idx="89">
                  <c:v>69998.61</c:v>
                </c:pt>
                <c:pt idx="90">
                  <c:v>69191.19</c:v>
                </c:pt>
                <c:pt idx="91">
                  <c:v>73441.67</c:v>
                </c:pt>
                <c:pt idx="92">
                  <c:v>67652.55</c:v>
                </c:pt>
                <c:pt idx="93">
                  <c:v>60908.06</c:v>
                </c:pt>
                <c:pt idx="94">
                  <c:v>63032.27</c:v>
                </c:pt>
                <c:pt idx="95">
                  <c:v>63958.55</c:v>
                </c:pt>
                <c:pt idx="96">
                  <c:v>64847.58</c:v>
                </c:pt>
              </c:numCache>
              <c:extLst>
                <c:ext xmlns:c15="http://schemas.microsoft.com/office/drawing/2012/chart" uri="{02D57815-91ED-43cb-92C2-25804820EDAC}">
                  <c15:fullRef>
                    <c15:sqref>'Convenience Data'!$N$4:$N$103</c15:sqref>
                  </c15:fullRef>
                </c:ext>
              </c:extLst>
            </c:numRef>
          </c:val>
        </c:ser>
        <c:ser>
          <c:idx val="4"/>
          <c:order val="4"/>
          <c:tx>
            <c:strRef>
              <c:f>'Convenience Data'!$U$3</c:f>
              <c:strCache>
                <c:ptCount val="1"/>
                <c:pt idx="0">
                  <c:v>Other Brands</c:v>
                </c:pt>
              </c:strCache>
            </c:strRef>
          </c:tx>
          <c:spPr>
            <a:solidFill>
              <a:sysClr val="window" lastClr="FFFFFF">
                <a:lumMod val="95000"/>
              </a:sysClr>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44546A">
                      <a:lumMod val="100000"/>
                    </a:srgbClr>
                  </a:solidFill>
                  <a:prstDash val="solid"/>
                  <a:round/>
                  <a:headEnd type="none" w="med" len="med"/>
                  <a:tailEnd type="none" w="med" len="med"/>
                </a14:hiddenLine>
              </a:ext>
            </a:extLst>
          </c:spP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Data'!$U$7:$U$103</c:f>
              <c:numCache>
                <c:formatCode>General</c:formatCode>
                <c:ptCount val="97"/>
                <c:pt idx="0">
                  <c:v>208518.52</c:v>
                </c:pt>
                <c:pt idx="1">
                  <c:v>204597.0</c:v>
                </c:pt>
                <c:pt idx="2">
                  <c:v>199846.8500000001</c:v>
                </c:pt>
                <c:pt idx="3">
                  <c:v>195144.65</c:v>
                </c:pt>
                <c:pt idx="4">
                  <c:v>198418.6400000001</c:v>
                </c:pt>
                <c:pt idx="5">
                  <c:v>201778.0300000001</c:v>
                </c:pt>
                <c:pt idx="6">
                  <c:v>193432.3399999997</c:v>
                </c:pt>
                <c:pt idx="7">
                  <c:v>193371.41</c:v>
                </c:pt>
                <c:pt idx="8">
                  <c:v>224051.9300000002</c:v>
                </c:pt>
                <c:pt idx="9">
                  <c:v>155801.3999999999</c:v>
                </c:pt>
                <c:pt idx="10">
                  <c:v>181767.3699999999</c:v>
                </c:pt>
                <c:pt idx="11">
                  <c:v>175569.1899999999</c:v>
                </c:pt>
                <c:pt idx="12">
                  <c:v>200905.4700000001</c:v>
                </c:pt>
                <c:pt idx="13">
                  <c:v>157087.2999999999</c:v>
                </c:pt>
                <c:pt idx="14">
                  <c:v>152120.2499999999</c:v>
                </c:pt>
                <c:pt idx="15">
                  <c:v>172073.72</c:v>
                </c:pt>
                <c:pt idx="16">
                  <c:v>172173.7000000001</c:v>
                </c:pt>
                <c:pt idx="17">
                  <c:v>166673.1399999999</c:v>
                </c:pt>
                <c:pt idx="18">
                  <c:v>170843.89</c:v>
                </c:pt>
                <c:pt idx="19">
                  <c:v>161975.1000000002</c:v>
                </c:pt>
                <c:pt idx="20">
                  <c:v>165642.3599999998</c:v>
                </c:pt>
                <c:pt idx="21">
                  <c:v>185974.4400000001</c:v>
                </c:pt>
                <c:pt idx="22">
                  <c:v>201738.3600000001</c:v>
                </c:pt>
                <c:pt idx="23">
                  <c:v>215573.4400000001</c:v>
                </c:pt>
                <c:pt idx="24">
                  <c:v>214508.97</c:v>
                </c:pt>
                <c:pt idx="25">
                  <c:v>214073.3099999998</c:v>
                </c:pt>
                <c:pt idx="26">
                  <c:v>221484.6299999999</c:v>
                </c:pt>
                <c:pt idx="27">
                  <c:v>198618.11</c:v>
                </c:pt>
                <c:pt idx="28">
                  <c:v>203899.89</c:v>
                </c:pt>
                <c:pt idx="29">
                  <c:v>210338.17</c:v>
                </c:pt>
                <c:pt idx="30">
                  <c:v>216356.2700000001</c:v>
                </c:pt>
                <c:pt idx="31">
                  <c:v>219195.3199999999</c:v>
                </c:pt>
                <c:pt idx="32">
                  <c:v>228166.9500000001</c:v>
                </c:pt>
                <c:pt idx="33">
                  <c:v>224940.97</c:v>
                </c:pt>
                <c:pt idx="34">
                  <c:v>258985.63</c:v>
                </c:pt>
                <c:pt idx="35">
                  <c:v>197301.2099999998</c:v>
                </c:pt>
                <c:pt idx="36">
                  <c:v>229332.3199999999</c:v>
                </c:pt>
                <c:pt idx="37">
                  <c:v>227979.88</c:v>
                </c:pt>
                <c:pt idx="38">
                  <c:v>230380.9500000001</c:v>
                </c:pt>
                <c:pt idx="39">
                  <c:v>246144.65</c:v>
                </c:pt>
                <c:pt idx="40">
                  <c:v>221373.13</c:v>
                </c:pt>
                <c:pt idx="41">
                  <c:v>216151.4</c:v>
                </c:pt>
                <c:pt idx="42">
                  <c:v>215170.1</c:v>
                </c:pt>
                <c:pt idx="43">
                  <c:v>219488.29</c:v>
                </c:pt>
                <c:pt idx="44">
                  <c:v>228239.12</c:v>
                </c:pt>
                <c:pt idx="45">
                  <c:v>237980.0399999998</c:v>
                </c:pt>
                <c:pt idx="46">
                  <c:v>231912.41</c:v>
                </c:pt>
                <c:pt idx="47">
                  <c:v>232999.41</c:v>
                </c:pt>
                <c:pt idx="48">
                  <c:v>265037.1800000004</c:v>
                </c:pt>
                <c:pt idx="49">
                  <c:v>188717.16</c:v>
                </c:pt>
                <c:pt idx="50">
                  <c:v>215368.7899999999</c:v>
                </c:pt>
                <c:pt idx="51">
                  <c:v>213233.4500000001</c:v>
                </c:pt>
                <c:pt idx="52">
                  <c:v>214653.16</c:v>
                </c:pt>
                <c:pt idx="53">
                  <c:v>210543.8800000001</c:v>
                </c:pt>
                <c:pt idx="54">
                  <c:v>210180.36</c:v>
                </c:pt>
                <c:pt idx="55">
                  <c:v>208291.2099999998</c:v>
                </c:pt>
                <c:pt idx="56">
                  <c:v>208423.1399999999</c:v>
                </c:pt>
                <c:pt idx="57">
                  <c:v>210744.2100000001</c:v>
                </c:pt>
                <c:pt idx="58">
                  <c:v>197788.3200000001</c:v>
                </c:pt>
                <c:pt idx="59">
                  <c:v>197944.9599999998</c:v>
                </c:pt>
                <c:pt idx="60">
                  <c:v>217449.7600000002</c:v>
                </c:pt>
                <c:pt idx="61">
                  <c:v>149173.39</c:v>
                </c:pt>
                <c:pt idx="62">
                  <c:v>189368.97</c:v>
                </c:pt>
                <c:pt idx="63">
                  <c:v>188226.7099999997</c:v>
                </c:pt>
                <c:pt idx="64">
                  <c:v>204964.4</c:v>
                </c:pt>
                <c:pt idx="65">
                  <c:v>139196.34</c:v>
                </c:pt>
                <c:pt idx="66">
                  <c:v>152171.9400000002</c:v>
                </c:pt>
                <c:pt idx="67">
                  <c:v>172899.53</c:v>
                </c:pt>
                <c:pt idx="68">
                  <c:v>158098.21</c:v>
                </c:pt>
                <c:pt idx="69">
                  <c:v>155911.7199999999</c:v>
                </c:pt>
                <c:pt idx="70">
                  <c:v>157845.6799999999</c:v>
                </c:pt>
                <c:pt idx="71">
                  <c:v>120259.22</c:v>
                </c:pt>
                <c:pt idx="72">
                  <c:v>122858.4399999999</c:v>
                </c:pt>
                <c:pt idx="73">
                  <c:v>98604.82999999984</c:v>
                </c:pt>
                <c:pt idx="74">
                  <c:v>111493.3399999997</c:v>
                </c:pt>
                <c:pt idx="75">
                  <c:v>121841.5599999998</c:v>
                </c:pt>
                <c:pt idx="76">
                  <c:v>127590.73</c:v>
                </c:pt>
                <c:pt idx="77">
                  <c:v>132883.3499999999</c:v>
                </c:pt>
                <c:pt idx="78">
                  <c:v>134468.0099999998</c:v>
                </c:pt>
                <c:pt idx="79">
                  <c:v>139870.6599999999</c:v>
                </c:pt>
                <c:pt idx="80">
                  <c:v>141113.52</c:v>
                </c:pt>
                <c:pt idx="81">
                  <c:v>140459.1099999999</c:v>
                </c:pt>
                <c:pt idx="82">
                  <c:v>140689.22</c:v>
                </c:pt>
                <c:pt idx="83">
                  <c:v>140353.7500000001</c:v>
                </c:pt>
                <c:pt idx="84">
                  <c:v>150721.4399999999</c:v>
                </c:pt>
                <c:pt idx="85">
                  <c:v>151223.62</c:v>
                </c:pt>
                <c:pt idx="86">
                  <c:v>166331.1000000001</c:v>
                </c:pt>
                <c:pt idx="87">
                  <c:v>130377.6899999998</c:v>
                </c:pt>
                <c:pt idx="88">
                  <c:v>149864.8100000003</c:v>
                </c:pt>
                <c:pt idx="89">
                  <c:v>151814.7899999999</c:v>
                </c:pt>
                <c:pt idx="90">
                  <c:v>152054.5099999999</c:v>
                </c:pt>
                <c:pt idx="91">
                  <c:v>164691.2399999996</c:v>
                </c:pt>
                <c:pt idx="92">
                  <c:v>153996.58</c:v>
                </c:pt>
                <c:pt idx="93">
                  <c:v>138481.8799999999</c:v>
                </c:pt>
                <c:pt idx="94">
                  <c:v>144464.1599999999</c:v>
                </c:pt>
                <c:pt idx="95">
                  <c:v>151103.78</c:v>
                </c:pt>
                <c:pt idx="96">
                  <c:v>158822.41</c:v>
                </c:pt>
              </c:numCache>
              <c:extLst>
                <c:ext xmlns:c15="http://schemas.microsoft.com/office/drawing/2012/chart" uri="{02D57815-91ED-43cb-92C2-25804820EDAC}">
                  <c15:fullRef>
                    <c15:sqref>'Convenience Data'!$U$4:$U$103</c15:sqref>
                  </c15:fullRef>
                </c:ext>
              </c:extLst>
            </c:numRef>
          </c:val>
        </c:ser>
        <c:dLbls>
          <c:showLegendKey val="0"/>
          <c:showVal val="0"/>
          <c:showCatName val="0"/>
          <c:showSerName val="0"/>
          <c:showPercent val="0"/>
          <c:showBubbleSize val="0"/>
        </c:dLbls>
        <c:axId val="2118383992"/>
        <c:axId val="2118380088"/>
      </c:areaChart>
      <c:lineChart>
        <c:grouping val="standard"/>
        <c:varyColors val="0"/>
        <c:ser>
          <c:idx val="3"/>
          <c:order val="3"/>
          <c:tx>
            <c:strRef>
              <c:f>'Convenience Data'!$S$3</c:f>
              <c:strCache>
                <c:ptCount val="1"/>
                <c:pt idx="0">
                  <c:v>Expected Core Volume</c:v>
                </c:pt>
              </c:strCache>
            </c:strRef>
          </c:tx>
          <c:spPr>
            <a:ln w="28575" cap="rnd" cmpd="sng" algn="ctr">
              <a:solidFill>
                <a:srgbClr val="44546A">
                  <a:lumMod val="100000"/>
                </a:srgbClr>
              </a:solidFill>
              <a:prstDash val="solid"/>
              <a:round/>
              <a:headEnd type="none" w="med" len="med"/>
              <a:tailEnd type="none" w="med" len="med"/>
            </a:ln>
            <a:effectLst/>
          </c:spPr>
          <c:marker>
            <c:symbol val="none"/>
          </c:marke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Data'!$S$7:$S$103</c:f>
              <c:numCache>
                <c:formatCode>General</c:formatCode>
                <c:ptCount val="97"/>
                <c:pt idx="0">
                  <c:v>621556.874315312</c:v>
                </c:pt>
                <c:pt idx="1">
                  <c:v>605039.1509465948</c:v>
                </c:pt>
                <c:pt idx="2">
                  <c:v>584744.4786085582</c:v>
                </c:pt>
                <c:pt idx="3">
                  <c:v>581770.6313446391</c:v>
                </c:pt>
                <c:pt idx="4">
                  <c:v>591957.29672937</c:v>
                </c:pt>
                <c:pt idx="5">
                  <c:v>596474.136237777</c:v>
                </c:pt>
                <c:pt idx="6">
                  <c:v>565912.0901169059</c:v>
                </c:pt>
                <c:pt idx="7">
                  <c:v>565011.9979883281</c:v>
                </c:pt>
                <c:pt idx="8">
                  <c:v>659021.9075282178</c:v>
                </c:pt>
                <c:pt idx="9">
                  <c:v>459015.4487012099</c:v>
                </c:pt>
                <c:pt idx="10">
                  <c:v>521336.274109153</c:v>
                </c:pt>
                <c:pt idx="11">
                  <c:v>515297.3809013387</c:v>
                </c:pt>
                <c:pt idx="12">
                  <c:v>609609.003606013</c:v>
                </c:pt>
                <c:pt idx="13">
                  <c:v>478941.2764218072</c:v>
                </c:pt>
                <c:pt idx="14">
                  <c:v>459034.2574345905</c:v>
                </c:pt>
                <c:pt idx="15">
                  <c:v>522130.5022795392</c:v>
                </c:pt>
                <c:pt idx="16">
                  <c:v>519882.0778587312</c:v>
                </c:pt>
                <c:pt idx="17">
                  <c:v>502608.7169655473</c:v>
                </c:pt>
                <c:pt idx="18">
                  <c:v>518571.5653343379</c:v>
                </c:pt>
                <c:pt idx="19">
                  <c:v>475389.3895518601</c:v>
                </c:pt>
                <c:pt idx="20">
                  <c:v>494422.3486029551</c:v>
                </c:pt>
                <c:pt idx="21">
                  <c:v>569473.010740107</c:v>
                </c:pt>
                <c:pt idx="22">
                  <c:v>626860.642715272</c:v>
                </c:pt>
                <c:pt idx="23">
                  <c:v>664211.652423953</c:v>
                </c:pt>
                <c:pt idx="24">
                  <c:v>661492.71627441</c:v>
                </c:pt>
                <c:pt idx="25">
                  <c:v>655431.8720587811</c:v>
                </c:pt>
                <c:pt idx="26">
                  <c:v>686010.300715614</c:v>
                </c:pt>
                <c:pt idx="27">
                  <c:v>601063.6244458116</c:v>
                </c:pt>
                <c:pt idx="28">
                  <c:v>619672.5673262045</c:v>
                </c:pt>
                <c:pt idx="29">
                  <c:v>636514.731288843</c:v>
                </c:pt>
                <c:pt idx="30">
                  <c:v>648324.4699383115</c:v>
                </c:pt>
                <c:pt idx="31">
                  <c:v>665165.8462120991</c:v>
                </c:pt>
                <c:pt idx="32">
                  <c:v>714267.7788191707</c:v>
                </c:pt>
                <c:pt idx="33">
                  <c:v>691708.4238265445</c:v>
                </c:pt>
                <c:pt idx="34">
                  <c:v>773138.2953680055</c:v>
                </c:pt>
                <c:pt idx="35">
                  <c:v>592575.0765671615</c:v>
                </c:pt>
                <c:pt idx="36">
                  <c:v>672113.2188110715</c:v>
                </c:pt>
                <c:pt idx="37">
                  <c:v>684991.118824542</c:v>
                </c:pt>
                <c:pt idx="38">
                  <c:v>699068.125971067</c:v>
                </c:pt>
                <c:pt idx="39">
                  <c:v>810574.093834344</c:v>
                </c:pt>
                <c:pt idx="40">
                  <c:v>677760.0593766849</c:v>
                </c:pt>
                <c:pt idx="41">
                  <c:v>649260.0534564695</c:v>
                </c:pt>
                <c:pt idx="42">
                  <c:v>656644.5956645822</c:v>
                </c:pt>
                <c:pt idx="43">
                  <c:v>681245.654525093</c:v>
                </c:pt>
                <c:pt idx="44">
                  <c:v>702490.448141409</c:v>
                </c:pt>
                <c:pt idx="45">
                  <c:v>724864.366136803</c:v>
                </c:pt>
                <c:pt idx="46">
                  <c:v>713312.6344924554</c:v>
                </c:pt>
                <c:pt idx="47">
                  <c:v>712365.1678216415</c:v>
                </c:pt>
                <c:pt idx="48">
                  <c:v>821977.2889466818</c:v>
                </c:pt>
                <c:pt idx="49">
                  <c:v>587866.00065678</c:v>
                </c:pt>
                <c:pt idx="50">
                  <c:v>660021.3968382699</c:v>
                </c:pt>
                <c:pt idx="51">
                  <c:v>647874.2091726301</c:v>
                </c:pt>
                <c:pt idx="52">
                  <c:v>661143.7679204736</c:v>
                </c:pt>
                <c:pt idx="53">
                  <c:v>650720.7895065397</c:v>
                </c:pt>
                <c:pt idx="54">
                  <c:v>643646.3700265093</c:v>
                </c:pt>
                <c:pt idx="55">
                  <c:v>636806.7850378463</c:v>
                </c:pt>
                <c:pt idx="56">
                  <c:v>641175.0776487692</c:v>
                </c:pt>
                <c:pt idx="57">
                  <c:v>660802.6855176791</c:v>
                </c:pt>
                <c:pt idx="58">
                  <c:v>606671.2734475059</c:v>
                </c:pt>
                <c:pt idx="59">
                  <c:v>612082.2725869738</c:v>
                </c:pt>
                <c:pt idx="60">
                  <c:v>676780.003866291</c:v>
                </c:pt>
                <c:pt idx="61">
                  <c:v>473983.5580423524</c:v>
                </c:pt>
                <c:pt idx="62">
                  <c:v>584642.7142090194</c:v>
                </c:pt>
                <c:pt idx="63">
                  <c:v>602317.5063130078</c:v>
                </c:pt>
                <c:pt idx="64">
                  <c:v>689325.643438677</c:v>
                </c:pt>
                <c:pt idx="65">
                  <c:v>479340.0871889441</c:v>
                </c:pt>
                <c:pt idx="66">
                  <c:v>519430.6420232753</c:v>
                </c:pt>
                <c:pt idx="67">
                  <c:v>578720.86762023</c:v>
                </c:pt>
                <c:pt idx="68">
                  <c:v>538729.4354706096</c:v>
                </c:pt>
                <c:pt idx="69">
                  <c:v>547342.4090152198</c:v>
                </c:pt>
                <c:pt idx="70">
                  <c:v>571360.8418797346</c:v>
                </c:pt>
                <c:pt idx="71">
                  <c:v>519809.1264288791</c:v>
                </c:pt>
                <c:pt idx="72">
                  <c:v>559185.0209455261</c:v>
                </c:pt>
                <c:pt idx="73">
                  <c:v>817962.0458786567</c:v>
                </c:pt>
                <c:pt idx="74">
                  <c:v>688557.6677914797</c:v>
                </c:pt>
                <c:pt idx="75">
                  <c:v>720787.4929796015</c:v>
                </c:pt>
                <c:pt idx="76">
                  <c:v>729946.4398174152</c:v>
                </c:pt>
                <c:pt idx="77">
                  <c:v>738638.6461476412</c:v>
                </c:pt>
                <c:pt idx="78">
                  <c:v>731808.7295043722</c:v>
                </c:pt>
                <c:pt idx="79">
                  <c:v>742418.8410689278</c:v>
                </c:pt>
                <c:pt idx="80">
                  <c:v>755047.4175354732</c:v>
                </c:pt>
                <c:pt idx="81">
                  <c:v>742413.0943440245</c:v>
                </c:pt>
                <c:pt idx="82">
                  <c:v>734575.0061671749</c:v>
                </c:pt>
                <c:pt idx="83">
                  <c:v>736837.7820674353</c:v>
                </c:pt>
                <c:pt idx="84">
                  <c:v>767645.8512591824</c:v>
                </c:pt>
                <c:pt idx="85">
                  <c:v>765091.600602995</c:v>
                </c:pt>
                <c:pt idx="86">
                  <c:v>846932.121144869</c:v>
                </c:pt>
                <c:pt idx="87">
                  <c:v>665154.5572207607</c:v>
                </c:pt>
                <c:pt idx="88">
                  <c:v>746994.0263991518</c:v>
                </c:pt>
                <c:pt idx="89">
                  <c:v>771456.6795128129</c:v>
                </c:pt>
                <c:pt idx="90">
                  <c:v>768194.2934127186</c:v>
                </c:pt>
                <c:pt idx="91">
                  <c:v>845719.7572540906</c:v>
                </c:pt>
                <c:pt idx="92">
                  <c:v>780949.9459498308</c:v>
                </c:pt>
                <c:pt idx="93">
                  <c:v>698985.5095206431</c:v>
                </c:pt>
                <c:pt idx="94">
                  <c:v>725499.1106695035</c:v>
                </c:pt>
                <c:pt idx="95">
                  <c:v>750731.9954623632</c:v>
                </c:pt>
                <c:pt idx="96">
                  <c:v>785466.8510375042</c:v>
                </c:pt>
              </c:numCache>
              <c:extLst>
                <c:ext xmlns:c15="http://schemas.microsoft.com/office/drawing/2012/chart" uri="{02D57815-91ED-43cb-92C2-25804820EDAC}">
                  <c15:fullRef>
                    <c15:sqref>'Convenience Data'!$S$4:$S$103</c15:sqref>
                  </c15:fullRef>
                </c:ext>
              </c:extLst>
            </c:numRef>
          </c:val>
          <c:smooth val="0"/>
        </c:ser>
        <c:dLbls>
          <c:showLegendKey val="0"/>
          <c:showVal val="0"/>
          <c:showCatName val="0"/>
          <c:showSerName val="0"/>
          <c:showPercent val="0"/>
          <c:showBubbleSize val="0"/>
        </c:dLbls>
        <c:marker val="1"/>
        <c:smooth val="0"/>
        <c:axId val="2118383992"/>
        <c:axId val="2118380088"/>
      </c:lineChart>
      <c:dateAx>
        <c:axId val="211838399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380088"/>
        <c:crosses val="autoZero"/>
        <c:auto val="1"/>
        <c:lblOffset val="100"/>
        <c:baseTimeUnit val="days"/>
      </c:dateAx>
      <c:valAx>
        <c:axId val="211838008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Serving Units Cases</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383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t>Total Convenience</a:t>
            </a:r>
          </a:p>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Percent of Total with Expected Core Percent of Total</a:t>
            </a:r>
            <a:endParaRPr lang="en-US" sz="1400">
              <a:effectLst/>
            </a:endParaRPr>
          </a:p>
        </c:rich>
      </c:tx>
      <c:layout/>
      <c:overlay val="0"/>
      <c:spPr>
        <a:noFill/>
        <a:ln>
          <a:noFill/>
        </a:ln>
        <a:effectLst/>
      </c:spPr>
    </c:title>
    <c:autoTitleDeleted val="0"/>
    <c:plotArea>
      <c:layout/>
      <c:areaChart>
        <c:grouping val="stacked"/>
        <c:varyColors val="0"/>
        <c:ser>
          <c:idx val="0"/>
          <c:order val="0"/>
          <c:tx>
            <c:strRef>
              <c:f>'Convenience Data'!$G$3</c:f>
              <c:strCache>
                <c:ptCount val="1"/>
                <c:pt idx="0">
                  <c:v>Core as Percent of Total</c:v>
                </c:pt>
              </c:strCache>
            </c:strRef>
          </c:tx>
          <c:spPr>
            <a:solidFill>
              <a:schemeClr val="bg1"/>
            </a:solidFill>
            <a:ln>
              <a:solidFill>
                <a:schemeClr val="tx2"/>
              </a:solidFill>
            </a:ln>
            <a:effectLst/>
          </c:spP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Data'!$G$7:$G$103</c:f>
              <c:numCache>
                <c:formatCode>General</c:formatCode>
                <c:ptCount val="97"/>
                <c:pt idx="0">
                  <c:v>0.750499408556636</c:v>
                </c:pt>
                <c:pt idx="1">
                  <c:v>0.748421360854555</c:v>
                </c:pt>
                <c:pt idx="2">
                  <c:v>0.745645593287218</c:v>
                </c:pt>
                <c:pt idx="3">
                  <c:v>0.750274436914522</c:v>
                </c:pt>
                <c:pt idx="4">
                  <c:v>0.75036800904227</c:v>
                </c:pt>
                <c:pt idx="5">
                  <c:v>0.747976891536016</c:v>
                </c:pt>
                <c:pt idx="6">
                  <c:v>0.745265294630316</c:v>
                </c:pt>
                <c:pt idx="7">
                  <c:v>0.744851835827597</c:v>
                </c:pt>
                <c:pt idx="8">
                  <c:v>0.746454160002965</c:v>
                </c:pt>
                <c:pt idx="9">
                  <c:v>0.746777990166688</c:v>
                </c:pt>
                <c:pt idx="10">
                  <c:v>0.739801329994176</c:v>
                </c:pt>
                <c:pt idx="11">
                  <c:v>0.745641001613768</c:v>
                </c:pt>
                <c:pt idx="12">
                  <c:v>0.753880107986481</c:v>
                </c:pt>
                <c:pt idx="13">
                  <c:v>0.75497258684327</c:v>
                </c:pt>
                <c:pt idx="14">
                  <c:v>0.752344892935008</c:v>
                </c:pt>
                <c:pt idx="15">
                  <c:v>0.753628609034838</c:v>
                </c:pt>
                <c:pt idx="16">
                  <c:v>0.752334139794412</c:v>
                </c:pt>
                <c:pt idx="17">
                  <c:v>0.751921507878015</c:v>
                </c:pt>
                <c:pt idx="18">
                  <c:v>0.753456505394228</c:v>
                </c:pt>
                <c:pt idx="19">
                  <c:v>0.744935040557626</c:v>
                </c:pt>
                <c:pt idx="20">
                  <c:v>0.749115099578258</c:v>
                </c:pt>
                <c:pt idx="21">
                  <c:v>0.755358320075155</c:v>
                </c:pt>
                <c:pt idx="22">
                  <c:v>0.758833546299285</c:v>
                </c:pt>
                <c:pt idx="23">
                  <c:v>0.756702748129357</c:v>
                </c:pt>
                <c:pt idx="24">
                  <c:v>0.756825624941079</c:v>
                </c:pt>
                <c:pt idx="25">
                  <c:v>0.754991410582839</c:v>
                </c:pt>
                <c:pt idx="26">
                  <c:v>0.757725239824903</c:v>
                </c:pt>
                <c:pt idx="27">
                  <c:v>0.751948168938068</c:v>
                </c:pt>
                <c:pt idx="28">
                  <c:v>0.75291434596077</c:v>
                </c:pt>
                <c:pt idx="29">
                  <c:v>0.751771774760748</c:v>
                </c:pt>
                <c:pt idx="30">
                  <c:v>0.749234797120661</c:v>
                </c:pt>
                <c:pt idx="31">
                  <c:v>0.752291930554283</c:v>
                </c:pt>
                <c:pt idx="32">
                  <c:v>0.75979664735771</c:v>
                </c:pt>
                <c:pt idx="33">
                  <c:v>0.755385947254047</c:v>
                </c:pt>
                <c:pt idx="34">
                  <c:v>0.747940626348963</c:v>
                </c:pt>
                <c:pt idx="35">
                  <c:v>0.749378021799126</c:v>
                </c:pt>
                <c:pt idx="36">
                  <c:v>0.743076411784084</c:v>
                </c:pt>
                <c:pt idx="37">
                  <c:v>0.74930767072967</c:v>
                </c:pt>
                <c:pt idx="38">
                  <c:v>0.751587524488342</c:v>
                </c:pt>
                <c:pt idx="39">
                  <c:v>0.719947380301176</c:v>
                </c:pt>
                <c:pt idx="40">
                  <c:v>0.730439539831504</c:v>
                </c:pt>
                <c:pt idx="41">
                  <c:v>0.724243209005622</c:v>
                </c:pt>
                <c:pt idx="42">
                  <c:v>0.728783189277951</c:v>
                </c:pt>
                <c:pt idx="43">
                  <c:v>0.735689936137258</c:v>
                </c:pt>
                <c:pt idx="44">
                  <c:v>0.745068381604583</c:v>
                </c:pt>
                <c:pt idx="45">
                  <c:v>0.741647588794215</c:v>
                </c:pt>
                <c:pt idx="46">
                  <c:v>0.746936515544999</c:v>
                </c:pt>
                <c:pt idx="47">
                  <c:v>0.751000623399956</c:v>
                </c:pt>
                <c:pt idx="48">
                  <c:v>0.755860118500496</c:v>
                </c:pt>
                <c:pt idx="49">
                  <c:v>0.757188667175008</c:v>
                </c:pt>
                <c:pt idx="50">
                  <c:v>0.753112739305616</c:v>
                </c:pt>
                <c:pt idx="51">
                  <c:v>0.750873182640023</c:v>
                </c:pt>
                <c:pt idx="52">
                  <c:v>0.754214328221259</c:v>
                </c:pt>
                <c:pt idx="53">
                  <c:v>0.754953954999518</c:v>
                </c:pt>
                <c:pt idx="54">
                  <c:v>0.752607850625846</c:v>
                </c:pt>
                <c:pt idx="55">
                  <c:v>0.752115114014507</c:v>
                </c:pt>
                <c:pt idx="56">
                  <c:v>0.753562506542319</c:v>
                </c:pt>
                <c:pt idx="57">
                  <c:v>0.758137715014734</c:v>
                </c:pt>
                <c:pt idx="58">
                  <c:v>0.752672161379178</c:v>
                </c:pt>
                <c:pt idx="59">
                  <c:v>0.754574108313045</c:v>
                </c:pt>
                <c:pt idx="60">
                  <c:v>0.756085305920738</c:v>
                </c:pt>
                <c:pt idx="61">
                  <c:v>0.760995575779165</c:v>
                </c:pt>
                <c:pt idx="62">
                  <c:v>0.753941012724893</c:v>
                </c:pt>
                <c:pt idx="63">
                  <c:v>0.762521885077119</c:v>
                </c:pt>
                <c:pt idx="64">
                  <c:v>0.773965389474336</c:v>
                </c:pt>
                <c:pt idx="65">
                  <c:v>0.779176379454958</c:v>
                </c:pt>
                <c:pt idx="66">
                  <c:v>0.777148425735597</c:v>
                </c:pt>
                <c:pt idx="67">
                  <c:v>0.772660342309476</c:v>
                </c:pt>
                <c:pt idx="68">
                  <c:v>0.776613784642806</c:v>
                </c:pt>
                <c:pt idx="69">
                  <c:v>0.783098424409234</c:v>
                </c:pt>
                <c:pt idx="70">
                  <c:v>0.789567572277617</c:v>
                </c:pt>
                <c:pt idx="71">
                  <c:v>0.799178913835573</c:v>
                </c:pt>
                <c:pt idx="72">
                  <c:v>0.790256460873506</c:v>
                </c:pt>
                <c:pt idx="73">
                  <c:v>0.440606942758277</c:v>
                </c:pt>
                <c:pt idx="74">
                  <c:v>0.593355392018286</c:v>
                </c:pt>
                <c:pt idx="75">
                  <c:v>0.620012187566836</c:v>
                </c:pt>
                <c:pt idx="76">
                  <c:v>0.645409650852998</c:v>
                </c:pt>
                <c:pt idx="77">
                  <c:v>0.658340738577503</c:v>
                </c:pt>
                <c:pt idx="78">
                  <c:v>0.670078835708102</c:v>
                </c:pt>
                <c:pt idx="79">
                  <c:v>0.680813335994765</c:v>
                </c:pt>
                <c:pt idx="80">
                  <c:v>0.686680955236252</c:v>
                </c:pt>
                <c:pt idx="81">
                  <c:v>0.684824598026148</c:v>
                </c:pt>
                <c:pt idx="82">
                  <c:v>0.691373330576215</c:v>
                </c:pt>
                <c:pt idx="83">
                  <c:v>0.694365518100954</c:v>
                </c:pt>
                <c:pt idx="84">
                  <c:v>0.690788405678332</c:v>
                </c:pt>
                <c:pt idx="85">
                  <c:v>0.690148202424137</c:v>
                </c:pt>
                <c:pt idx="86">
                  <c:v>0.696608295616603</c:v>
                </c:pt>
                <c:pt idx="87">
                  <c:v>0.701388467459837</c:v>
                </c:pt>
                <c:pt idx="88">
                  <c:v>0.696283037793479</c:v>
                </c:pt>
                <c:pt idx="89">
                  <c:v>0.699541449802307</c:v>
                </c:pt>
                <c:pt idx="90">
                  <c:v>0.69869260945971</c:v>
                </c:pt>
                <c:pt idx="91">
                  <c:v>0.707426367015596</c:v>
                </c:pt>
                <c:pt idx="92">
                  <c:v>0.706217091249157</c:v>
                </c:pt>
                <c:pt idx="93">
                  <c:v>0.704121297238808</c:v>
                </c:pt>
                <c:pt idx="94">
                  <c:v>0.702031570191221</c:v>
                </c:pt>
                <c:pt idx="95">
                  <c:v>0.699499039433609</c:v>
                </c:pt>
                <c:pt idx="96">
                  <c:v>0.703735882632321</c:v>
                </c:pt>
              </c:numCache>
              <c:extLst>
                <c:ext xmlns:c15="http://schemas.microsoft.com/office/drawing/2012/chart" uri="{02D57815-91ED-43cb-92C2-25804820EDAC}">
                  <c15:fullRef>
                    <c15:sqref>'Convenience Data'!$G$4:$G$103</c15:sqref>
                  </c15:fullRef>
                </c:ext>
              </c:extLst>
            </c:numRef>
          </c:val>
        </c:ser>
        <c:ser>
          <c:idx val="1"/>
          <c:order val="1"/>
          <c:tx>
            <c:strRef>
              <c:f>'Convenience Data'!$M$3</c:f>
              <c:strCache>
                <c:ptCount val="1"/>
                <c:pt idx="0">
                  <c:v>New Net Blue/Red as Percent of Total</c:v>
                </c:pt>
              </c:strCache>
            </c:strRef>
          </c:tx>
          <c:spPr>
            <a:solidFill>
              <a:schemeClr val="accent5">
                <a:lumMod val="40000"/>
                <a:lumOff val="60000"/>
              </a:schemeClr>
            </a:solidFill>
            <a:ln>
              <a:noFill/>
            </a:ln>
            <a:effectLst/>
          </c:spP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Data'!$M$7:$M$103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-1.86713064424883E-6</c:v>
                </c:pt>
                <c:pt idx="68">
                  <c:v>0.0</c:v>
                </c:pt>
                <c:pt idx="69">
                  <c:v>-1.32164093825933E-6</c:v>
                </c:pt>
                <c:pt idx="70">
                  <c:v>0.0</c:v>
                </c:pt>
                <c:pt idx="71">
                  <c:v>0.0239059043570036</c:v>
                </c:pt>
                <c:pt idx="72">
                  <c:v>0.0232427885735697</c:v>
                </c:pt>
                <c:pt idx="73">
                  <c:v>0.170548509292413</c:v>
                </c:pt>
                <c:pt idx="74">
                  <c:v>0.108085610319331</c:v>
                </c:pt>
                <c:pt idx="75">
                  <c:v>0.104848240593909</c:v>
                </c:pt>
                <c:pt idx="76">
                  <c:v>0.0957443006373489</c:v>
                </c:pt>
                <c:pt idx="77">
                  <c:v>0.0941804616355152</c:v>
                </c:pt>
                <c:pt idx="78">
                  <c:v>0.0902304241089299</c:v>
                </c:pt>
                <c:pt idx="79">
                  <c:v>0.0861649497785157</c:v>
                </c:pt>
                <c:pt idx="80">
                  <c:v>0.0842575393063544</c:v>
                </c:pt>
                <c:pt idx="81">
                  <c:v>0.0869639211977076</c:v>
                </c:pt>
                <c:pt idx="82">
                  <c:v>0.0836803495766875</c:v>
                </c:pt>
                <c:pt idx="83">
                  <c:v>0.082242307836233</c:v>
                </c:pt>
                <c:pt idx="84">
                  <c:v>0.0833388540638384</c:v>
                </c:pt>
                <c:pt idx="85">
                  <c:v>0.0838683718334443</c:v>
                </c:pt>
                <c:pt idx="86">
                  <c:v>0.0811460903051593</c:v>
                </c:pt>
                <c:pt idx="87">
                  <c:v>0.0792537788590472</c:v>
                </c:pt>
                <c:pt idx="88">
                  <c:v>0.080108191826939</c:v>
                </c:pt>
                <c:pt idx="89">
                  <c:v>0.0800395275475484</c:v>
                </c:pt>
                <c:pt idx="90">
                  <c:v>0.080444741467084</c:v>
                </c:pt>
                <c:pt idx="91">
                  <c:v>0.0765719742918989</c:v>
                </c:pt>
                <c:pt idx="92">
                  <c:v>0.0759855768370975</c:v>
                </c:pt>
                <c:pt idx="93">
                  <c:v>0.0769058256664799</c:v>
                </c:pt>
                <c:pt idx="94">
                  <c:v>0.0783471178684042</c:v>
                </c:pt>
                <c:pt idx="95">
                  <c:v>0.0804488229154366</c:v>
                </c:pt>
                <c:pt idx="96">
                  <c:v>0.0774519778649015</c:v>
                </c:pt>
              </c:numCache>
              <c:extLst>
                <c:ext xmlns:c15="http://schemas.microsoft.com/office/drawing/2012/chart" uri="{02D57815-91ED-43cb-92C2-25804820EDAC}">
                  <c15:fullRef>
                    <c15:sqref>'Convenience Data'!$M$4:$M$103</c15:sqref>
                  </c15:fullRef>
                </c:ext>
              </c:extLst>
            </c:numRef>
          </c:val>
        </c:ser>
        <c:ser>
          <c:idx val="2"/>
          <c:order val="2"/>
          <c:tx>
            <c:strRef>
              <c:f>'Convenience Data'!$O$3</c:f>
              <c:strCache>
                <c:ptCount val="1"/>
                <c:pt idx="0">
                  <c:v>New Flavors as Percent of Total</c:v>
                </c:pt>
              </c:strCache>
            </c:strRef>
          </c:tx>
          <c:spPr>
            <a:solidFill>
              <a:schemeClr val="accent4">
                <a:lumMod val="40000"/>
                <a:lumOff val="60000"/>
              </a:schemeClr>
            </a:solidFill>
            <a:ln>
              <a:noFill/>
            </a:ln>
            <a:effectLst/>
          </c:spP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Data'!$O$7:$O$103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9.64244392990532E-5</c:v>
                </c:pt>
                <c:pt idx="39">
                  <c:v>0.0511643038723165</c:v>
                </c:pt>
                <c:pt idx="40">
                  <c:v>0.0232839230842647</c:v>
                </c:pt>
                <c:pt idx="41">
                  <c:v>0.024648191172438</c:v>
                </c:pt>
                <c:pt idx="42">
                  <c:v>0.0239750511268075</c:v>
                </c:pt>
                <c:pt idx="43">
                  <c:v>0.0211311584437971</c:v>
                </c:pt>
                <c:pt idx="44">
                  <c:v>0.00962124659120556</c:v>
                </c:pt>
                <c:pt idx="45">
                  <c:v>0.0103830959602536</c:v>
                </c:pt>
                <c:pt idx="46">
                  <c:v>0.00741952296610004</c:v>
                </c:pt>
                <c:pt idx="47">
                  <c:v>0.00179168735621667</c:v>
                </c:pt>
                <c:pt idx="48">
                  <c:v>0.000356232922706571</c:v>
                </c:pt>
                <c:pt idx="49">
                  <c:v>1.7111126240949E-5</c:v>
                </c:pt>
                <c:pt idx="50">
                  <c:v>1.19214280229283E-5</c:v>
                </c:pt>
                <c:pt idx="51">
                  <c:v>3.17044130054679E-5</c:v>
                </c:pt>
                <c:pt idx="52">
                  <c:v>-1.86426057654113E-5</c:v>
                </c:pt>
                <c:pt idx="53">
                  <c:v>2.32772111238161E-6</c:v>
                </c:pt>
                <c:pt idx="54">
                  <c:v>-1.12997022257741E-6</c:v>
                </c:pt>
                <c:pt idx="55">
                  <c:v>-2.11837488370955E-6</c:v>
                </c:pt>
                <c:pt idx="56">
                  <c:v>-2.1283043299252E-7</c:v>
                </c:pt>
                <c:pt idx="57">
                  <c:v>-4.82017333435123E-7</c:v>
                </c:pt>
                <c:pt idx="58">
                  <c:v>-3.77646909368331E-6</c:v>
                </c:pt>
                <c:pt idx="59">
                  <c:v>3.44678842450909E-6</c:v>
                </c:pt>
                <c:pt idx="60">
                  <c:v>-1.34604790743785E-7</c:v>
                </c:pt>
                <c:pt idx="61">
                  <c:v>2.17896136538077E-6</c:v>
                </c:pt>
                <c:pt idx="62">
                  <c:v>0.0</c:v>
                </c:pt>
                <c:pt idx="63">
                  <c:v>-7.56996254004037E-8</c:v>
                </c:pt>
                <c:pt idx="64">
                  <c:v>3.13190680565775E-6</c:v>
                </c:pt>
                <c:pt idx="65">
                  <c:v>-1.90370359664975E-7</c:v>
                </c:pt>
                <c:pt idx="66">
                  <c:v>0.0</c:v>
                </c:pt>
                <c:pt idx="67">
                  <c:v>-7.36333211816439E-7</c:v>
                </c:pt>
                <c:pt idx="68">
                  <c:v>-1.10211309556779E-6</c:v>
                </c:pt>
                <c:pt idx="69">
                  <c:v>-1.64161716541686E-6</c:v>
                </c:pt>
                <c:pt idx="70">
                  <c:v>-2.51968917114385E-6</c:v>
                </c:pt>
                <c:pt idx="71">
                  <c:v>0.00062962467658478</c:v>
                </c:pt>
                <c:pt idx="72">
                  <c:v>0.0190302648745798</c:v>
                </c:pt>
                <c:pt idx="73">
                  <c:v>0.29692659120367</c:v>
                </c:pt>
                <c:pt idx="74">
                  <c:v>0.175052332290749</c:v>
                </c:pt>
                <c:pt idx="75">
                  <c:v>0.146161341993254</c:v>
                </c:pt>
                <c:pt idx="76">
                  <c:v>0.12543165202529</c:v>
                </c:pt>
                <c:pt idx="77">
                  <c:v>0.110119070661643</c:v>
                </c:pt>
                <c:pt idx="78">
                  <c:v>0.0993484554496095</c:v>
                </c:pt>
                <c:pt idx="79">
                  <c:v>0.0890785627660599</c:v>
                </c:pt>
                <c:pt idx="80">
                  <c:v>0.0862201593944544</c:v>
                </c:pt>
                <c:pt idx="81">
                  <c:v>0.083564310116313</c:v>
                </c:pt>
                <c:pt idx="82">
                  <c:v>0.0784669718994331</c:v>
                </c:pt>
                <c:pt idx="83">
                  <c:v>0.0776618676247224</c:v>
                </c:pt>
                <c:pt idx="84">
                  <c:v>0.0756077377162998</c:v>
                </c:pt>
                <c:pt idx="85">
                  <c:v>0.0746635996233685</c:v>
                </c:pt>
                <c:pt idx="86">
                  <c:v>0.0718412747649646</c:v>
                </c:pt>
                <c:pt idx="87">
                  <c:v>0.0691950613036405</c:v>
                </c:pt>
                <c:pt idx="88">
                  <c:v>0.0698607086858485</c:v>
                </c:pt>
                <c:pt idx="89">
                  <c:v>0.0695585803340494</c:v>
                </c:pt>
                <c:pt idx="90">
                  <c:v>0.0690713967138233</c:v>
                </c:pt>
                <c:pt idx="91">
                  <c:v>0.0666162544990007</c:v>
                </c:pt>
                <c:pt idx="92">
                  <c:v>0.0664768902416232</c:v>
                </c:pt>
                <c:pt idx="93">
                  <c:v>0.0668901005560127</c:v>
                </c:pt>
                <c:pt idx="94">
                  <c:v>0.0667155084643139</c:v>
                </c:pt>
                <c:pt idx="95">
                  <c:v>0.0654424958966799</c:v>
                </c:pt>
                <c:pt idx="96">
                  <c:v>0.0634391664316591</c:v>
                </c:pt>
              </c:numCache>
              <c:extLst>
                <c:ext xmlns:c15="http://schemas.microsoft.com/office/drawing/2012/chart" uri="{02D57815-91ED-43cb-92C2-25804820EDAC}">
                  <c15:fullRef>
                    <c15:sqref>'Convenience Data'!$O$4:$O$103</c15:sqref>
                  </c15:fullRef>
                </c:ext>
              </c:extLst>
            </c:numRef>
          </c:val>
        </c:ser>
        <c:dLbls>
          <c:showLegendKey val="0"/>
          <c:showVal val="0"/>
          <c:showCatName val="0"/>
          <c:showSerName val="0"/>
          <c:showPercent val="0"/>
          <c:showBubbleSize val="0"/>
        </c:dLbls>
        <c:axId val="2118283752"/>
        <c:axId val="2118279960"/>
      </c:areaChart>
      <c:lineChart>
        <c:grouping val="standard"/>
        <c:varyColors val="0"/>
        <c:ser>
          <c:idx val="3"/>
          <c:order val="3"/>
          <c:tx>
            <c:strRef>
              <c:f>'Convenience Data'!$T$3</c:f>
              <c:strCache>
                <c:ptCount val="1"/>
                <c:pt idx="0">
                  <c:v>Expected Core as Percent of Total</c:v>
                </c:pt>
              </c:strCache>
            </c:strRef>
          </c:tx>
          <c:spPr>
            <a:ln w="28575" cap="rnd">
              <a:solidFill>
                <a:schemeClr val="tx2"/>
              </a:solidFill>
              <a:round/>
            </a:ln>
            <a:effectLst/>
          </c:spPr>
          <c:marker>
            <c:symbol val="none"/>
          </c:marker>
          <c:cat>
            <c:numRef>
              <c:f>'Convenience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'Convenience Data'!$D$4:$D$103</c15:sqref>
                  </c15:fullRef>
                </c:ext>
              </c:extLst>
            </c:numRef>
          </c:cat>
          <c:val>
            <c:numRef>
              <c:f>'Convenience Data'!$T$7:$T$103</c:f>
              <c:numCache>
                <c:formatCode>General</c:formatCode>
                <c:ptCount val="97"/>
                <c:pt idx="0">
                  <c:v>0.74371719</c:v>
                </c:pt>
                <c:pt idx="1">
                  <c:v>0.74397438</c:v>
                </c:pt>
                <c:pt idx="2">
                  <c:v>0.74423157</c:v>
                </c:pt>
                <c:pt idx="3">
                  <c:v>0.74448876</c:v>
                </c:pt>
                <c:pt idx="4">
                  <c:v>0.74474595</c:v>
                </c:pt>
                <c:pt idx="5">
                  <c:v>0.74500314</c:v>
                </c:pt>
                <c:pt idx="6">
                  <c:v>0.74526033</c:v>
                </c:pt>
                <c:pt idx="7">
                  <c:v>0.74551752</c:v>
                </c:pt>
                <c:pt idx="8">
                  <c:v>0.74577471</c:v>
                </c:pt>
                <c:pt idx="9">
                  <c:v>0.7460319</c:v>
                </c:pt>
                <c:pt idx="10">
                  <c:v>0.74628909</c:v>
                </c:pt>
                <c:pt idx="11">
                  <c:v>0.74654628</c:v>
                </c:pt>
                <c:pt idx="12">
                  <c:v>0.74680347</c:v>
                </c:pt>
                <c:pt idx="13">
                  <c:v>0.74706066</c:v>
                </c:pt>
                <c:pt idx="14">
                  <c:v>0.74731785</c:v>
                </c:pt>
                <c:pt idx="15">
                  <c:v>0.74757504</c:v>
                </c:pt>
                <c:pt idx="16">
                  <c:v>0.74783223</c:v>
                </c:pt>
                <c:pt idx="17">
                  <c:v>0.74808942</c:v>
                </c:pt>
                <c:pt idx="18">
                  <c:v>0.74834661</c:v>
                </c:pt>
                <c:pt idx="19">
                  <c:v>0.7486038</c:v>
                </c:pt>
                <c:pt idx="20">
                  <c:v>0.74886099</c:v>
                </c:pt>
                <c:pt idx="21">
                  <c:v>0.74911818</c:v>
                </c:pt>
                <c:pt idx="22">
                  <c:v>0.74937537</c:v>
                </c:pt>
                <c:pt idx="23">
                  <c:v>0.74963256</c:v>
                </c:pt>
                <c:pt idx="24">
                  <c:v>0.74988975</c:v>
                </c:pt>
                <c:pt idx="25">
                  <c:v>0.75014694</c:v>
                </c:pt>
                <c:pt idx="26">
                  <c:v>0.75040413</c:v>
                </c:pt>
                <c:pt idx="27">
                  <c:v>0.75066132</c:v>
                </c:pt>
                <c:pt idx="28">
                  <c:v>0.75091851</c:v>
                </c:pt>
                <c:pt idx="29">
                  <c:v>0.7511757</c:v>
                </c:pt>
                <c:pt idx="30">
                  <c:v>0.75143289</c:v>
                </c:pt>
                <c:pt idx="31">
                  <c:v>0.75169008</c:v>
                </c:pt>
                <c:pt idx="32">
                  <c:v>0.75194727</c:v>
                </c:pt>
                <c:pt idx="33">
                  <c:v>0.75220446</c:v>
                </c:pt>
                <c:pt idx="34">
                  <c:v>0.75246165</c:v>
                </c:pt>
                <c:pt idx="35">
                  <c:v>0.75271884</c:v>
                </c:pt>
                <c:pt idx="36">
                  <c:v>0.75297603</c:v>
                </c:pt>
                <c:pt idx="37">
                  <c:v>0.75323322</c:v>
                </c:pt>
                <c:pt idx="38">
                  <c:v>0.75349041</c:v>
                </c:pt>
                <c:pt idx="39">
                  <c:v>0.7537476</c:v>
                </c:pt>
                <c:pt idx="40">
                  <c:v>0.75400479</c:v>
                </c:pt>
                <c:pt idx="41">
                  <c:v>0.75426198</c:v>
                </c:pt>
                <c:pt idx="42">
                  <c:v>0.75451917</c:v>
                </c:pt>
                <c:pt idx="43">
                  <c:v>0.75477636</c:v>
                </c:pt>
                <c:pt idx="44">
                  <c:v>0.75503355</c:v>
                </c:pt>
                <c:pt idx="45">
                  <c:v>0.75529074</c:v>
                </c:pt>
                <c:pt idx="46">
                  <c:v>0.75554793</c:v>
                </c:pt>
                <c:pt idx="47">
                  <c:v>0.75580512</c:v>
                </c:pt>
                <c:pt idx="48">
                  <c:v>0.75606231</c:v>
                </c:pt>
                <c:pt idx="49">
                  <c:v>0.7563195</c:v>
                </c:pt>
                <c:pt idx="50">
                  <c:v>0.75657669</c:v>
                </c:pt>
                <c:pt idx="51">
                  <c:v>0.75683388</c:v>
                </c:pt>
                <c:pt idx="52">
                  <c:v>0.75709107</c:v>
                </c:pt>
                <c:pt idx="53">
                  <c:v>0.75734826</c:v>
                </c:pt>
                <c:pt idx="54">
                  <c:v>0.75760545</c:v>
                </c:pt>
                <c:pt idx="55">
                  <c:v>0.75786264</c:v>
                </c:pt>
                <c:pt idx="56">
                  <c:v>0.75811983</c:v>
                </c:pt>
                <c:pt idx="57">
                  <c:v>0.75837702</c:v>
                </c:pt>
                <c:pt idx="58">
                  <c:v>0.75863421</c:v>
                </c:pt>
                <c:pt idx="59">
                  <c:v>0.7588914</c:v>
                </c:pt>
                <c:pt idx="60">
                  <c:v>0.75914859</c:v>
                </c:pt>
                <c:pt idx="61">
                  <c:v>0.75940578</c:v>
                </c:pt>
                <c:pt idx="62">
                  <c:v>0.75966297</c:v>
                </c:pt>
                <c:pt idx="63">
                  <c:v>0.75992016</c:v>
                </c:pt>
                <c:pt idx="64">
                  <c:v>0.76017735</c:v>
                </c:pt>
                <c:pt idx="65">
                  <c:v>0.76043454</c:v>
                </c:pt>
                <c:pt idx="66">
                  <c:v>0.76069173</c:v>
                </c:pt>
                <c:pt idx="67">
                  <c:v>0.76094892</c:v>
                </c:pt>
                <c:pt idx="68">
                  <c:v>0.76120611</c:v>
                </c:pt>
                <c:pt idx="69">
                  <c:v>0.7614633</c:v>
                </c:pt>
                <c:pt idx="70">
                  <c:v>0.76172049</c:v>
                </c:pt>
                <c:pt idx="71">
                  <c:v>0.76197768</c:v>
                </c:pt>
                <c:pt idx="72">
                  <c:v>0.76223487</c:v>
                </c:pt>
                <c:pt idx="73">
                  <c:v>0.76249206</c:v>
                </c:pt>
                <c:pt idx="74">
                  <c:v>0.76274925</c:v>
                </c:pt>
                <c:pt idx="75">
                  <c:v>0.76300644</c:v>
                </c:pt>
                <c:pt idx="76">
                  <c:v>0.76326363</c:v>
                </c:pt>
                <c:pt idx="77">
                  <c:v>0.76352082</c:v>
                </c:pt>
                <c:pt idx="78">
                  <c:v>0.76377801</c:v>
                </c:pt>
                <c:pt idx="79">
                  <c:v>0.7640352</c:v>
                </c:pt>
                <c:pt idx="80">
                  <c:v>0.76429239</c:v>
                </c:pt>
                <c:pt idx="81">
                  <c:v>0.76454958</c:v>
                </c:pt>
                <c:pt idx="82">
                  <c:v>0.76480677</c:v>
                </c:pt>
                <c:pt idx="83">
                  <c:v>0.76506396</c:v>
                </c:pt>
                <c:pt idx="84">
                  <c:v>0.76532115</c:v>
                </c:pt>
                <c:pt idx="85">
                  <c:v>0.76557834</c:v>
                </c:pt>
                <c:pt idx="86">
                  <c:v>0.76583553</c:v>
                </c:pt>
                <c:pt idx="87">
                  <c:v>0.76609272</c:v>
                </c:pt>
                <c:pt idx="88">
                  <c:v>0.76634991</c:v>
                </c:pt>
                <c:pt idx="89">
                  <c:v>0.7666071</c:v>
                </c:pt>
                <c:pt idx="90">
                  <c:v>0.76686429</c:v>
                </c:pt>
                <c:pt idx="91">
                  <c:v>0.76712148</c:v>
                </c:pt>
                <c:pt idx="92">
                  <c:v>0.76737867</c:v>
                </c:pt>
                <c:pt idx="93">
                  <c:v>0.76763586</c:v>
                </c:pt>
                <c:pt idx="94">
                  <c:v>0.76789305</c:v>
                </c:pt>
                <c:pt idx="95">
                  <c:v>0.76815024</c:v>
                </c:pt>
                <c:pt idx="96">
                  <c:v>0.76840743</c:v>
                </c:pt>
              </c:numCache>
              <c:extLst>
                <c:ext xmlns:c15="http://schemas.microsoft.com/office/drawing/2012/chart" uri="{02D57815-91ED-43cb-92C2-25804820EDAC}">
                  <c15:fullRef>
                    <c15:sqref>'Convenience Data'!$T$4:$T$103</c15:sqref>
                  </c15:fullRef>
                </c:ext>
              </c:extLst>
            </c:numRef>
          </c:val>
          <c:smooth val="0"/>
        </c:ser>
        <c:dLbls>
          <c:showLegendKey val="0"/>
          <c:showVal val="0"/>
          <c:showCatName val="0"/>
          <c:showSerName val="0"/>
          <c:showPercent val="0"/>
          <c:showBubbleSize val="0"/>
        </c:dLbls>
        <c:marker val="1"/>
        <c:smooth val="0"/>
        <c:axId val="2118283752"/>
        <c:axId val="2118279960"/>
      </c:lineChart>
      <c:dateAx>
        <c:axId val="211828375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279960"/>
        <c:crosses val="autoZero"/>
        <c:auto val="1"/>
        <c:lblOffset val="100"/>
        <c:baseTimeUnit val="days"/>
      </c:dateAx>
      <c:valAx>
        <c:axId val="21182799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 of Total</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283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Grocery /Drug</a:t>
            </a:r>
          </a:p>
          <a:p>
            <a:pPr>
              <a:defRPr sz="1400" b="0" i="0" u="none" strike="noStrike" kern="1200" spc="0" baseline="0">
                <a:solidFill>
                  <a:schemeClr val="tx1">
                    <a:lumMod val="65000"/>
                    <a:lumOff val="35000"/>
                  </a:schemeClr>
                </a:solidFill>
                <a:latin typeface="+mn-lt"/>
                <a:ea typeface="+mn-ea"/>
                <a:cs typeface="+mn-cs"/>
              </a:defRPr>
            </a:pPr>
            <a:r>
              <a:rPr lang="en-US"/>
              <a:t>Volume</a:t>
            </a:r>
            <a:r>
              <a:rPr lang="en-US" baseline="0"/>
              <a:t> with Expected Core Volume</a:t>
            </a:r>
            <a:endParaRPr lang="en-US"/>
          </a:p>
        </c:rich>
      </c:tx>
      <c:layout/>
      <c:overlay val="0"/>
      <c:spPr>
        <a:noFill/>
        <a:ln>
          <a:noFill/>
        </a:ln>
        <a:effectLst/>
      </c:spPr>
    </c:title>
    <c:autoTitleDeleted val="0"/>
    <c:plotArea>
      <c:layout/>
      <c:areaChart>
        <c:grouping val="stacked"/>
        <c:varyColors val="0"/>
        <c:ser>
          <c:idx val="0"/>
          <c:order val="0"/>
          <c:tx>
            <c:strRef>
              <c:f>'Grocery &amp; Drug Data'!$F$3</c:f>
              <c:strCache>
                <c:ptCount val="1"/>
                <c:pt idx="0">
                  <c:v>Core</c:v>
                </c:pt>
              </c:strCache>
            </c:strRef>
          </c:tx>
          <c:spPr>
            <a:solidFill>
              <a:sysClr val="window" lastClr="FFFFFF">
                <a:lumMod val="100000"/>
              </a:sysClr>
            </a:solidFill>
            <a:ln w="9525" cap="flat" cmpd="sng" algn="ctr">
              <a:solidFill>
                <a:srgbClr val="44546A">
                  <a:lumMod val="100000"/>
                </a:srgbClr>
              </a:solidFill>
              <a:prstDash val="solid"/>
              <a:round/>
              <a:headEnd type="none" w="med" len="med"/>
              <a:tailEnd type="none" w="med" len="med"/>
            </a:ln>
            <a:effectLst/>
          </c:spP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Data'!$F$7:$F$103</c:f>
              <c:numCache>
                <c:formatCode>General</c:formatCode>
                <c:ptCount val="97"/>
                <c:pt idx="0">
                  <c:v>167988.68</c:v>
                </c:pt>
                <c:pt idx="1">
                  <c:v>161274.42</c:v>
                </c:pt>
                <c:pt idx="2">
                  <c:v>174275.15</c:v>
                </c:pt>
                <c:pt idx="3">
                  <c:v>170870.82</c:v>
                </c:pt>
                <c:pt idx="4">
                  <c:v>179706.68</c:v>
                </c:pt>
                <c:pt idx="5">
                  <c:v>167475.76</c:v>
                </c:pt>
                <c:pt idx="6">
                  <c:v>158965.4</c:v>
                </c:pt>
                <c:pt idx="7">
                  <c:v>162296.75</c:v>
                </c:pt>
                <c:pt idx="8">
                  <c:v>188847.14</c:v>
                </c:pt>
                <c:pt idx="9">
                  <c:v>139523.24</c:v>
                </c:pt>
                <c:pt idx="10">
                  <c:v>153738.6</c:v>
                </c:pt>
                <c:pt idx="11">
                  <c:v>164619.97</c:v>
                </c:pt>
                <c:pt idx="12">
                  <c:v>188140.5</c:v>
                </c:pt>
                <c:pt idx="13">
                  <c:v>152605.02</c:v>
                </c:pt>
                <c:pt idx="14">
                  <c:v>144898.3</c:v>
                </c:pt>
                <c:pt idx="15">
                  <c:v>172848.51</c:v>
                </c:pt>
                <c:pt idx="16">
                  <c:v>162588.02</c:v>
                </c:pt>
                <c:pt idx="17">
                  <c:v>147993.99</c:v>
                </c:pt>
                <c:pt idx="18">
                  <c:v>163216.27</c:v>
                </c:pt>
                <c:pt idx="19">
                  <c:v>142944.55</c:v>
                </c:pt>
                <c:pt idx="20">
                  <c:v>157351.67</c:v>
                </c:pt>
                <c:pt idx="21">
                  <c:v>180112.6</c:v>
                </c:pt>
                <c:pt idx="22">
                  <c:v>186076.35</c:v>
                </c:pt>
                <c:pt idx="23">
                  <c:v>175740.61</c:v>
                </c:pt>
                <c:pt idx="24">
                  <c:v>182687.45</c:v>
                </c:pt>
                <c:pt idx="25">
                  <c:v>187549.84</c:v>
                </c:pt>
                <c:pt idx="26">
                  <c:v>181422.41</c:v>
                </c:pt>
                <c:pt idx="27">
                  <c:v>167309.07</c:v>
                </c:pt>
                <c:pt idx="28">
                  <c:v>185414.09</c:v>
                </c:pt>
                <c:pt idx="29">
                  <c:v>181093.23</c:v>
                </c:pt>
                <c:pt idx="30">
                  <c:v>179128.65</c:v>
                </c:pt>
                <c:pt idx="31">
                  <c:v>177754.52</c:v>
                </c:pt>
                <c:pt idx="32">
                  <c:v>188367.42</c:v>
                </c:pt>
                <c:pt idx="33">
                  <c:v>199014.81</c:v>
                </c:pt>
                <c:pt idx="34">
                  <c:v>226317.5</c:v>
                </c:pt>
                <c:pt idx="35">
                  <c:v>166926.1</c:v>
                </c:pt>
                <c:pt idx="36">
                  <c:v>190227.81</c:v>
                </c:pt>
                <c:pt idx="37">
                  <c:v>195365.29</c:v>
                </c:pt>
                <c:pt idx="38">
                  <c:v>196970.2</c:v>
                </c:pt>
                <c:pt idx="39">
                  <c:v>214491.76</c:v>
                </c:pt>
                <c:pt idx="40">
                  <c:v>178120.49</c:v>
                </c:pt>
                <c:pt idx="41">
                  <c:v>192643.08</c:v>
                </c:pt>
                <c:pt idx="42">
                  <c:v>192100.31</c:v>
                </c:pt>
                <c:pt idx="43">
                  <c:v>183789.47</c:v>
                </c:pt>
                <c:pt idx="44">
                  <c:v>190458.03</c:v>
                </c:pt>
                <c:pt idx="45">
                  <c:v>185071.44</c:v>
                </c:pt>
                <c:pt idx="46">
                  <c:v>204915.1</c:v>
                </c:pt>
                <c:pt idx="47">
                  <c:v>196416.22</c:v>
                </c:pt>
                <c:pt idx="48">
                  <c:v>219563.87</c:v>
                </c:pt>
                <c:pt idx="49">
                  <c:v>155319.33</c:v>
                </c:pt>
                <c:pt idx="50">
                  <c:v>195607.34</c:v>
                </c:pt>
                <c:pt idx="51">
                  <c:v>189774.03</c:v>
                </c:pt>
                <c:pt idx="52">
                  <c:v>177516.56</c:v>
                </c:pt>
                <c:pt idx="53">
                  <c:v>170589.3</c:v>
                </c:pt>
                <c:pt idx="54">
                  <c:v>185065.75</c:v>
                </c:pt>
                <c:pt idx="55">
                  <c:v>186747.28</c:v>
                </c:pt>
                <c:pt idx="56">
                  <c:v>184190.57</c:v>
                </c:pt>
                <c:pt idx="57">
                  <c:v>178306.46</c:v>
                </c:pt>
                <c:pt idx="58">
                  <c:v>170290.06</c:v>
                </c:pt>
                <c:pt idx="59">
                  <c:v>176847.98</c:v>
                </c:pt>
                <c:pt idx="60">
                  <c:v>191298.95</c:v>
                </c:pt>
                <c:pt idx="61">
                  <c:v>141458.01</c:v>
                </c:pt>
                <c:pt idx="62">
                  <c:v>172463.4</c:v>
                </c:pt>
                <c:pt idx="63">
                  <c:v>172494.32</c:v>
                </c:pt>
                <c:pt idx="64">
                  <c:v>191090.07</c:v>
                </c:pt>
                <c:pt idx="65">
                  <c:v>142558.32</c:v>
                </c:pt>
                <c:pt idx="66">
                  <c:v>164239.07</c:v>
                </c:pt>
                <c:pt idx="67">
                  <c:v>190174.63</c:v>
                </c:pt>
                <c:pt idx="68">
                  <c:v>178386.87</c:v>
                </c:pt>
                <c:pt idx="69">
                  <c:v>170028.36</c:v>
                </c:pt>
                <c:pt idx="70">
                  <c:v>171730.69</c:v>
                </c:pt>
                <c:pt idx="71">
                  <c:v>160896.79</c:v>
                </c:pt>
                <c:pt idx="72">
                  <c:v>160824.13</c:v>
                </c:pt>
                <c:pt idx="73">
                  <c:v>134107.95</c:v>
                </c:pt>
                <c:pt idx="74">
                  <c:v>150985.75</c:v>
                </c:pt>
                <c:pt idx="75">
                  <c:v>157795.95</c:v>
                </c:pt>
                <c:pt idx="76">
                  <c:v>188064.65</c:v>
                </c:pt>
                <c:pt idx="77">
                  <c:v>176247.92</c:v>
                </c:pt>
                <c:pt idx="78">
                  <c:v>175182.31</c:v>
                </c:pt>
                <c:pt idx="79">
                  <c:v>171304.92</c:v>
                </c:pt>
                <c:pt idx="80">
                  <c:v>184529.96</c:v>
                </c:pt>
                <c:pt idx="81">
                  <c:v>182498.02</c:v>
                </c:pt>
                <c:pt idx="82">
                  <c:v>179496.77</c:v>
                </c:pt>
                <c:pt idx="83">
                  <c:v>175622.05</c:v>
                </c:pt>
                <c:pt idx="84">
                  <c:v>194581.82</c:v>
                </c:pt>
                <c:pt idx="85">
                  <c:v>203738.77</c:v>
                </c:pt>
                <c:pt idx="86">
                  <c:v>217435.62</c:v>
                </c:pt>
                <c:pt idx="87">
                  <c:v>166552.67</c:v>
                </c:pt>
                <c:pt idx="88">
                  <c:v>182847.85</c:v>
                </c:pt>
                <c:pt idx="89">
                  <c:v>191809.95</c:v>
                </c:pt>
                <c:pt idx="90">
                  <c:v>195769.72</c:v>
                </c:pt>
                <c:pt idx="91">
                  <c:v>202063.25</c:v>
                </c:pt>
                <c:pt idx="92">
                  <c:v>198496.2</c:v>
                </c:pt>
                <c:pt idx="93">
                  <c:v>191753.93</c:v>
                </c:pt>
                <c:pt idx="94">
                  <c:v>186711.52</c:v>
                </c:pt>
                <c:pt idx="95">
                  <c:v>185849.98</c:v>
                </c:pt>
                <c:pt idx="96">
                  <c:v>199491.72</c:v>
                </c:pt>
              </c:numCache>
              <c:extLst>
                <c:ext xmlns:c15="http://schemas.microsoft.com/office/drawing/2012/chart" uri="{02D57815-91ED-43cb-92C2-25804820EDAC}">
                  <c15:fullRef>
                    <c15:sqref>'Grocery &amp; Drug Data'!$F$4:$F$103</c15:sqref>
                  </c15:fullRef>
                </c:ext>
              </c:extLst>
            </c:numRef>
          </c:val>
        </c:ser>
        <c:ser>
          <c:idx val="1"/>
          <c:order val="1"/>
          <c:tx>
            <c:strRef>
              <c:f>'Grocery &amp; Drug Data'!$L$3</c:f>
              <c:strCache>
                <c:ptCount val="1"/>
                <c:pt idx="0">
                  <c:v>New Net Blue/Red</c:v>
                </c:pt>
              </c:strCache>
            </c:strRef>
          </c:tx>
          <c:spPr>
            <a:solidFill>
              <a:srgbClr val="4472C4">
                <a:lumMod val="40000"/>
                <a:lumOff val="60000"/>
              </a:srgbClr>
            </a:solidFill>
            <a:ln>
              <a:noFill/>
            </a:ln>
            <a:effectLst/>
          </c:spP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Data'!$L$7:$L$103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-1.18</c:v>
                </c:pt>
                <c:pt idx="61">
                  <c:v>0.0</c:v>
                </c:pt>
                <c:pt idx="62">
                  <c:v>0.0</c:v>
                </c:pt>
                <c:pt idx="63">
                  <c:v>0.0</c:v>
                </c:pt>
                <c:pt idx="64">
                  <c:v>0.0</c:v>
                </c:pt>
                <c:pt idx="65">
                  <c:v>0.0</c:v>
                </c:pt>
                <c:pt idx="66">
                  <c:v>0.0</c:v>
                </c:pt>
                <c:pt idx="67">
                  <c:v>-0.12</c:v>
                </c:pt>
                <c:pt idx="68">
                  <c:v>0.0</c:v>
                </c:pt>
                <c:pt idx="69">
                  <c:v>-1.24</c:v>
                </c:pt>
                <c:pt idx="70">
                  <c:v>0.0</c:v>
                </c:pt>
                <c:pt idx="71">
                  <c:v>9974.83</c:v>
                </c:pt>
                <c:pt idx="72">
                  <c:v>19536.23</c:v>
                </c:pt>
                <c:pt idx="73">
                  <c:v>67577.95</c:v>
                </c:pt>
                <c:pt idx="74">
                  <c:v>34432.14</c:v>
                </c:pt>
                <c:pt idx="75">
                  <c:v>26764.14</c:v>
                </c:pt>
                <c:pt idx="76">
                  <c:v>30106.05</c:v>
                </c:pt>
                <c:pt idx="77">
                  <c:v>26260.98</c:v>
                </c:pt>
                <c:pt idx="78">
                  <c:v>23951.76</c:v>
                </c:pt>
                <c:pt idx="79">
                  <c:v>24987.45</c:v>
                </c:pt>
                <c:pt idx="80">
                  <c:v>26052.7</c:v>
                </c:pt>
                <c:pt idx="81">
                  <c:v>24582.85</c:v>
                </c:pt>
                <c:pt idx="82">
                  <c:v>22701.44</c:v>
                </c:pt>
                <c:pt idx="83">
                  <c:v>20928.13</c:v>
                </c:pt>
                <c:pt idx="84">
                  <c:v>23655.71</c:v>
                </c:pt>
                <c:pt idx="85">
                  <c:v>26040.4</c:v>
                </c:pt>
                <c:pt idx="86">
                  <c:v>26001.85</c:v>
                </c:pt>
                <c:pt idx="87">
                  <c:v>19333.57</c:v>
                </c:pt>
                <c:pt idx="88">
                  <c:v>21780.93</c:v>
                </c:pt>
                <c:pt idx="89">
                  <c:v>22210.04</c:v>
                </c:pt>
                <c:pt idx="90">
                  <c:v>23082.55</c:v>
                </c:pt>
                <c:pt idx="91">
                  <c:v>24093.28</c:v>
                </c:pt>
                <c:pt idx="92">
                  <c:v>22950.05</c:v>
                </c:pt>
                <c:pt idx="93">
                  <c:v>25112.56</c:v>
                </c:pt>
                <c:pt idx="94">
                  <c:v>25204.27</c:v>
                </c:pt>
                <c:pt idx="95">
                  <c:v>24284.75</c:v>
                </c:pt>
                <c:pt idx="96">
                  <c:v>25963.26</c:v>
                </c:pt>
              </c:numCache>
              <c:extLst>
                <c:ext xmlns:c15="http://schemas.microsoft.com/office/drawing/2012/chart" uri="{02D57815-91ED-43cb-92C2-25804820EDAC}">
                  <c15:fullRef>
                    <c15:sqref>'Grocery &amp; Drug Data'!$L$4:$L$103</c15:sqref>
                  </c15:fullRef>
                </c:ext>
              </c:extLst>
            </c:numRef>
          </c:val>
        </c:ser>
        <c:ser>
          <c:idx val="2"/>
          <c:order val="2"/>
          <c:tx>
            <c:strRef>
              <c:f>'Grocery &amp; Drug Data'!$N$3</c:f>
              <c:strCache>
                <c:ptCount val="1"/>
                <c:pt idx="0">
                  <c:v>New Flavors</c:v>
                </c:pt>
              </c:strCache>
            </c:strRef>
          </c:tx>
          <c:spPr>
            <a:solidFill>
              <a:srgbClr val="FFC000">
                <a:lumMod val="40000"/>
                <a:lumOff val="60000"/>
              </a:srgbClr>
            </a:solidFill>
            <a:ln>
              <a:noFill/>
            </a:ln>
            <a:effectLst/>
          </c:spP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Data'!$N$7:$N$103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1.42</c:v>
                </c:pt>
                <c:pt idx="40">
                  <c:v>1.42</c:v>
                </c:pt>
                <c:pt idx="41">
                  <c:v>2.84</c:v>
                </c:pt>
                <c:pt idx="42">
                  <c:v>15.62</c:v>
                </c:pt>
                <c:pt idx="43">
                  <c:v>0.0</c:v>
                </c:pt>
                <c:pt idx="44">
                  <c:v>0.0</c:v>
                </c:pt>
                <c:pt idx="45">
                  <c:v>0.0</c:v>
                </c:pt>
                <c:pt idx="46">
                  <c:v>0.0</c:v>
                </c:pt>
                <c:pt idx="47">
                  <c:v>1.42</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-0.53</c:v>
                </c:pt>
                <c:pt idx="63">
                  <c:v>0.0</c:v>
                </c:pt>
                <c:pt idx="64">
                  <c:v>0.0</c:v>
                </c:pt>
                <c:pt idx="65">
                  <c:v>0.0</c:v>
                </c:pt>
                <c:pt idx="66">
                  <c:v>0.0</c:v>
                </c:pt>
                <c:pt idx="67">
                  <c:v>1.42</c:v>
                </c:pt>
                <c:pt idx="68">
                  <c:v>-0.35</c:v>
                </c:pt>
                <c:pt idx="69">
                  <c:v>0.0</c:v>
                </c:pt>
                <c:pt idx="70">
                  <c:v>-1.24</c:v>
                </c:pt>
                <c:pt idx="71">
                  <c:v>545.5500000000001</c:v>
                </c:pt>
                <c:pt idx="72">
                  <c:v>24448.32</c:v>
                </c:pt>
                <c:pt idx="73">
                  <c:v>123734.38</c:v>
                </c:pt>
                <c:pt idx="74">
                  <c:v>59672.16</c:v>
                </c:pt>
                <c:pt idx="75">
                  <c:v>39578.9</c:v>
                </c:pt>
                <c:pt idx="76">
                  <c:v>42712.34</c:v>
                </c:pt>
                <c:pt idx="77">
                  <c:v>34236.57</c:v>
                </c:pt>
                <c:pt idx="78">
                  <c:v>28969.49</c:v>
                </c:pt>
                <c:pt idx="79">
                  <c:v>28863.22</c:v>
                </c:pt>
                <c:pt idx="80">
                  <c:v>28285.75</c:v>
                </c:pt>
                <c:pt idx="81">
                  <c:v>25715.65</c:v>
                </c:pt>
                <c:pt idx="82">
                  <c:v>22745.31</c:v>
                </c:pt>
                <c:pt idx="83">
                  <c:v>21543.1</c:v>
                </c:pt>
                <c:pt idx="84">
                  <c:v>23271.56</c:v>
                </c:pt>
                <c:pt idx="85">
                  <c:v>25483.62</c:v>
                </c:pt>
                <c:pt idx="86">
                  <c:v>24735.21</c:v>
                </c:pt>
                <c:pt idx="87">
                  <c:v>18053.8</c:v>
                </c:pt>
                <c:pt idx="88">
                  <c:v>20294.1</c:v>
                </c:pt>
                <c:pt idx="89">
                  <c:v>20466.6</c:v>
                </c:pt>
                <c:pt idx="90">
                  <c:v>21255.2</c:v>
                </c:pt>
                <c:pt idx="91">
                  <c:v>22306.7</c:v>
                </c:pt>
                <c:pt idx="92">
                  <c:v>20767.07</c:v>
                </c:pt>
                <c:pt idx="93">
                  <c:v>22619.55</c:v>
                </c:pt>
                <c:pt idx="94">
                  <c:v>22187.3</c:v>
                </c:pt>
                <c:pt idx="95">
                  <c:v>21432.09</c:v>
                </c:pt>
                <c:pt idx="96">
                  <c:v>22245.63</c:v>
                </c:pt>
              </c:numCache>
              <c:extLst>
                <c:ext xmlns:c15="http://schemas.microsoft.com/office/drawing/2012/chart" uri="{02D57815-91ED-43cb-92C2-25804820EDAC}">
                  <c15:fullRef>
                    <c15:sqref>'Grocery &amp; Drug Data'!$N$4:$N$103</c15:sqref>
                  </c15:fullRef>
                </c:ext>
              </c:extLst>
            </c:numRef>
          </c:val>
        </c:ser>
        <c:ser>
          <c:idx val="4"/>
          <c:order val="4"/>
          <c:tx>
            <c:strRef>
              <c:f>'Grocery &amp; Drug Data'!$U$3</c:f>
              <c:strCache>
                <c:ptCount val="1"/>
                <c:pt idx="0">
                  <c:v>Other Brands</c:v>
                </c:pt>
              </c:strCache>
            </c:strRef>
          </c:tx>
          <c:spPr>
            <a:solidFill>
              <a:sysClr val="window" lastClr="FFFFFF">
                <a:lumMod val="95000"/>
              </a:sysClr>
            </a:solidFill>
            <a:ln>
              <a:noFill/>
            </a:ln>
            <a:effectLst/>
          </c:spP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Data'!$U$7:$U$103</c:f>
              <c:numCache>
                <c:formatCode>General</c:formatCode>
                <c:ptCount val="97"/>
                <c:pt idx="0">
                  <c:v>89273.11000000001</c:v>
                </c:pt>
                <c:pt idx="1">
                  <c:v>86177.25999999995</c:v>
                </c:pt>
                <c:pt idx="2">
                  <c:v>92701.87000000005</c:v>
                </c:pt>
                <c:pt idx="3">
                  <c:v>89109.56000000003</c:v>
                </c:pt>
                <c:pt idx="4">
                  <c:v>97141.19999999995</c:v>
                </c:pt>
                <c:pt idx="5">
                  <c:v>88431.78</c:v>
                </c:pt>
                <c:pt idx="6">
                  <c:v>82456.64000000004</c:v>
                </c:pt>
                <c:pt idx="7">
                  <c:v>83459.0</c:v>
                </c:pt>
                <c:pt idx="8">
                  <c:v>100855.35</c:v>
                </c:pt>
                <c:pt idx="9">
                  <c:v>75581.97000000006</c:v>
                </c:pt>
                <c:pt idx="10">
                  <c:v>85132.38999999998</c:v>
                </c:pt>
                <c:pt idx="11">
                  <c:v>85474.72</c:v>
                </c:pt>
                <c:pt idx="12">
                  <c:v>97161.22</c:v>
                </c:pt>
                <c:pt idx="13">
                  <c:v>82931.23000000001</c:v>
                </c:pt>
                <c:pt idx="14">
                  <c:v>79360.86000000004</c:v>
                </c:pt>
                <c:pt idx="15">
                  <c:v>92763.93</c:v>
                </c:pt>
                <c:pt idx="16">
                  <c:v>84878.1</c:v>
                </c:pt>
                <c:pt idx="17">
                  <c:v>77358.65000000002</c:v>
                </c:pt>
                <c:pt idx="18">
                  <c:v>87943.91000000003</c:v>
                </c:pt>
                <c:pt idx="19">
                  <c:v>77159.44999999998</c:v>
                </c:pt>
                <c:pt idx="20">
                  <c:v>81664.75000000003</c:v>
                </c:pt>
                <c:pt idx="21">
                  <c:v>91609.70000000001</c:v>
                </c:pt>
                <c:pt idx="22">
                  <c:v>94072.60999999995</c:v>
                </c:pt>
                <c:pt idx="23">
                  <c:v>91256.62000000002</c:v>
                </c:pt>
                <c:pt idx="24">
                  <c:v>93354.91</c:v>
                </c:pt>
                <c:pt idx="25">
                  <c:v>97221.23000000001</c:v>
                </c:pt>
                <c:pt idx="26">
                  <c:v>96834.21000000008</c:v>
                </c:pt>
                <c:pt idx="27">
                  <c:v>90840.52000000004</c:v>
                </c:pt>
                <c:pt idx="28">
                  <c:v>96368.18000000002</c:v>
                </c:pt>
                <c:pt idx="29">
                  <c:v>96778.79000000001</c:v>
                </c:pt>
                <c:pt idx="30">
                  <c:v>98515.94000000003</c:v>
                </c:pt>
                <c:pt idx="31">
                  <c:v>96447.05000000001</c:v>
                </c:pt>
                <c:pt idx="32">
                  <c:v>98583.08000000001</c:v>
                </c:pt>
                <c:pt idx="33">
                  <c:v>102496.92</c:v>
                </c:pt>
                <c:pt idx="34">
                  <c:v>121399.76</c:v>
                </c:pt>
                <c:pt idx="35">
                  <c:v>89636.65999999997</c:v>
                </c:pt>
                <c:pt idx="36">
                  <c:v>101224.5599999999</c:v>
                </c:pt>
                <c:pt idx="37">
                  <c:v>101694.19</c:v>
                </c:pt>
                <c:pt idx="38">
                  <c:v>100468.61</c:v>
                </c:pt>
                <c:pt idx="39">
                  <c:v>112086.02</c:v>
                </c:pt>
                <c:pt idx="40">
                  <c:v>94159.86999999996</c:v>
                </c:pt>
                <c:pt idx="41">
                  <c:v>100720.43</c:v>
                </c:pt>
                <c:pt idx="42">
                  <c:v>97737.51000000001</c:v>
                </c:pt>
                <c:pt idx="43">
                  <c:v>97595.20000000007</c:v>
                </c:pt>
                <c:pt idx="44">
                  <c:v>98417.98000000001</c:v>
                </c:pt>
                <c:pt idx="45">
                  <c:v>95910.9499999999</c:v>
                </c:pt>
                <c:pt idx="46">
                  <c:v>104663.3</c:v>
                </c:pt>
                <c:pt idx="47">
                  <c:v>102708.8199999999</c:v>
                </c:pt>
                <c:pt idx="48">
                  <c:v>113216.46</c:v>
                </c:pt>
                <c:pt idx="49">
                  <c:v>82907.46999999994</c:v>
                </c:pt>
                <c:pt idx="50">
                  <c:v>101209.84</c:v>
                </c:pt>
                <c:pt idx="51">
                  <c:v>99236.16000000003</c:v>
                </c:pt>
                <c:pt idx="52">
                  <c:v>95692.66999999998</c:v>
                </c:pt>
                <c:pt idx="53">
                  <c:v>92829.85000000003</c:v>
                </c:pt>
                <c:pt idx="54">
                  <c:v>97797.22</c:v>
                </c:pt>
                <c:pt idx="55">
                  <c:v>98085.12000000002</c:v>
                </c:pt>
                <c:pt idx="56">
                  <c:v>98191.94</c:v>
                </c:pt>
                <c:pt idx="57">
                  <c:v>97048.5200000001</c:v>
                </c:pt>
                <c:pt idx="58">
                  <c:v>90369.51000000001</c:v>
                </c:pt>
                <c:pt idx="59">
                  <c:v>89269.59</c:v>
                </c:pt>
                <c:pt idx="60">
                  <c:v>96781.21999999994</c:v>
                </c:pt>
                <c:pt idx="61">
                  <c:v>72520.12</c:v>
                </c:pt>
                <c:pt idx="62">
                  <c:v>87097.29000000001</c:v>
                </c:pt>
                <c:pt idx="63">
                  <c:v>83865.53999999994</c:v>
                </c:pt>
                <c:pt idx="64">
                  <c:v>88071.37999999997</c:v>
                </c:pt>
                <c:pt idx="65">
                  <c:v>68344.45000000001</c:v>
                </c:pt>
                <c:pt idx="66">
                  <c:v>76622.66999999998</c:v>
                </c:pt>
                <c:pt idx="67">
                  <c:v>93271.66</c:v>
                </c:pt>
                <c:pt idx="68">
                  <c:v>80717.58000000001</c:v>
                </c:pt>
                <c:pt idx="69">
                  <c:v>76883.65</c:v>
                </c:pt>
                <c:pt idx="70">
                  <c:v>75353.98999999996</c:v>
                </c:pt>
                <c:pt idx="71">
                  <c:v>61548.46000000002</c:v>
                </c:pt>
                <c:pt idx="72">
                  <c:v>59624.35999999998</c:v>
                </c:pt>
                <c:pt idx="73">
                  <c:v>50907.37000000005</c:v>
                </c:pt>
                <c:pt idx="74">
                  <c:v>55701.56999999992</c:v>
                </c:pt>
                <c:pt idx="75">
                  <c:v>60128.29000000001</c:v>
                </c:pt>
                <c:pt idx="76">
                  <c:v>68840.65999999997</c:v>
                </c:pt>
                <c:pt idx="77">
                  <c:v>66592.33999999988</c:v>
                </c:pt>
                <c:pt idx="78">
                  <c:v>65517.18</c:v>
                </c:pt>
                <c:pt idx="79">
                  <c:v>64975.51999999998</c:v>
                </c:pt>
                <c:pt idx="80">
                  <c:v>68504.44</c:v>
                </c:pt>
                <c:pt idx="81">
                  <c:v>67714.21</c:v>
                </c:pt>
                <c:pt idx="82">
                  <c:v>67121.6699999999</c:v>
                </c:pt>
                <c:pt idx="83">
                  <c:v>67061.55999999996</c:v>
                </c:pt>
                <c:pt idx="84">
                  <c:v>73253.96999999994</c:v>
                </c:pt>
                <c:pt idx="85">
                  <c:v>76948.12000000005</c:v>
                </c:pt>
                <c:pt idx="86">
                  <c:v>80716.24999999994</c:v>
                </c:pt>
                <c:pt idx="87">
                  <c:v>62159.39000000001</c:v>
                </c:pt>
                <c:pt idx="88">
                  <c:v>71842.5500000001</c:v>
                </c:pt>
                <c:pt idx="89">
                  <c:v>71938.54999999987</c:v>
                </c:pt>
                <c:pt idx="90">
                  <c:v>72418.04000000004</c:v>
                </c:pt>
                <c:pt idx="91">
                  <c:v>75686.67999999996</c:v>
                </c:pt>
                <c:pt idx="92">
                  <c:v>74542.08000000007</c:v>
                </c:pt>
                <c:pt idx="93">
                  <c:v>74927.34999999994</c:v>
                </c:pt>
                <c:pt idx="94">
                  <c:v>71793.66000000003</c:v>
                </c:pt>
                <c:pt idx="95">
                  <c:v>70806.53999999997</c:v>
                </c:pt>
                <c:pt idx="96">
                  <c:v>76824.68999999997</c:v>
                </c:pt>
              </c:numCache>
              <c:extLst>
                <c:ext xmlns:c15="http://schemas.microsoft.com/office/drawing/2012/chart" uri="{02D57815-91ED-43cb-92C2-25804820EDAC}">
                  <c15:fullRef>
                    <c15:sqref>'Grocery &amp; Drug Data'!$U$4:$U$103</c15:sqref>
                  </c15:fullRef>
                </c:ext>
              </c:extLst>
            </c:numRef>
          </c:val>
        </c:ser>
        <c:dLbls>
          <c:showLegendKey val="0"/>
          <c:showVal val="0"/>
          <c:showCatName val="0"/>
          <c:showSerName val="0"/>
          <c:showPercent val="0"/>
          <c:showBubbleSize val="0"/>
        </c:dLbls>
        <c:axId val="2118198952"/>
        <c:axId val="2118195048"/>
      </c:areaChart>
      <c:lineChart>
        <c:grouping val="standard"/>
        <c:varyColors val="0"/>
        <c:ser>
          <c:idx val="3"/>
          <c:order val="3"/>
          <c:tx>
            <c:strRef>
              <c:f>'Grocery &amp; Drug Data'!$S$3</c:f>
              <c:strCache>
                <c:ptCount val="1"/>
                <c:pt idx="0">
                  <c:v>Expected Core Volume</c:v>
                </c:pt>
              </c:strCache>
            </c:strRef>
          </c:tx>
          <c:spPr>
            <a:ln w="28575" cap="rnd" cmpd="sng" algn="ctr">
              <a:solidFill>
                <a:srgbClr val="44546A">
                  <a:lumMod val="100000"/>
                </a:srgbClr>
              </a:solidFill>
              <a:prstDash val="solid"/>
              <a:round/>
              <a:headEnd type="none" w="med" len="med"/>
              <a:tailEnd type="none" w="med" len="med"/>
            </a:ln>
            <a:effectLst/>
          </c:spPr>
          <c:marker>
            <c:symbol val="none"/>
          </c:marke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Data'!$S$7:$S$103</c:f>
              <c:numCache>
                <c:formatCode>General</c:formatCode>
                <c:ptCount val="97"/>
                <c:pt idx="0">
                  <c:v>166786.294063783</c:v>
                </c:pt>
                <c:pt idx="1">
                  <c:v>160496.4222419935</c:v>
                </c:pt>
                <c:pt idx="2">
                  <c:v>173236.1902354206</c:v>
                </c:pt>
                <c:pt idx="3">
                  <c:v>168769.9138015352</c:v>
                </c:pt>
                <c:pt idx="4">
                  <c:v>179798.177388694</c:v>
                </c:pt>
                <c:pt idx="5">
                  <c:v>166271.0772261924</c:v>
                </c:pt>
                <c:pt idx="6">
                  <c:v>156927.8435191228</c:v>
                </c:pt>
                <c:pt idx="7">
                  <c:v>159814.49237396</c:v>
                </c:pt>
                <c:pt idx="8">
                  <c:v>188475.1065711591</c:v>
                </c:pt>
                <c:pt idx="9">
                  <c:v>140004.474017171</c:v>
                </c:pt>
                <c:pt idx="10">
                  <c:v>155540.513107824</c:v>
                </c:pt>
                <c:pt idx="11">
                  <c:v>162919.7141074428</c:v>
                </c:pt>
                <c:pt idx="12">
                  <c:v>185935.5901898836</c:v>
                </c:pt>
                <c:pt idx="13">
                  <c:v>153569.432438825</c:v>
                </c:pt>
                <c:pt idx="14">
                  <c:v>146280.359171574</c:v>
                </c:pt>
                <c:pt idx="15">
                  <c:v>173329.6900190304</c:v>
                </c:pt>
                <c:pt idx="16">
                  <c:v>161558.1747781804</c:v>
                </c:pt>
                <c:pt idx="17">
                  <c:v>147185.2863845952</c:v>
                </c:pt>
                <c:pt idx="18">
                  <c:v>164112.2534754042</c:v>
                </c:pt>
                <c:pt idx="19">
                  <c:v>143882.0288208</c:v>
                </c:pt>
                <c:pt idx="20">
                  <c:v>156312.8451025182</c:v>
                </c:pt>
                <c:pt idx="21">
                  <c:v>177778.993833006</c:v>
                </c:pt>
                <c:pt idx="22">
                  <c:v>183371.7062767408</c:v>
                </c:pt>
                <c:pt idx="23">
                  <c:v>174838.9281891552</c:v>
                </c:pt>
                <c:pt idx="24">
                  <c:v>180840.24978789</c:v>
                </c:pt>
                <c:pt idx="25">
                  <c:v>186639.3180895482</c:v>
                </c:pt>
                <c:pt idx="26">
                  <c:v>182448.6278856775</c:v>
                </c:pt>
                <c:pt idx="27">
                  <c:v>169337.9425350052</c:v>
                </c:pt>
                <c:pt idx="28">
                  <c:v>184920.1190777633</c:v>
                </c:pt>
                <c:pt idx="29">
                  <c:v>182432.790012306</c:v>
                </c:pt>
                <c:pt idx="30">
                  <c:v>182362.189206738</c:v>
                </c:pt>
                <c:pt idx="31">
                  <c:v>180178.4877946424</c:v>
                </c:pt>
                <c:pt idx="32">
                  <c:v>188637.192611415</c:v>
                </c:pt>
                <c:pt idx="33">
                  <c:v>198295.0204713582</c:v>
                </c:pt>
                <c:pt idx="34">
                  <c:v>228781.562211191</c:v>
                </c:pt>
                <c:pt idx="35">
                  <c:v>168878.9372539536</c:v>
                </c:pt>
                <c:pt idx="36">
                  <c:v>191927.1768035919</c:v>
                </c:pt>
                <c:pt idx="37">
                  <c:v>195703.7894850424</c:v>
                </c:pt>
                <c:pt idx="38">
                  <c:v>196038.0202482009</c:v>
                </c:pt>
                <c:pt idx="39">
                  <c:v>215336.65773568</c:v>
                </c:pt>
                <c:pt idx="40">
                  <c:v>179611.7407987598</c:v>
                </c:pt>
                <c:pt idx="41">
                  <c:v>193603.432133817</c:v>
                </c:pt>
                <c:pt idx="42">
                  <c:v>191367.3077204992</c:v>
                </c:pt>
                <c:pt idx="43">
                  <c:v>185855.8238829348</c:v>
                </c:pt>
                <c:pt idx="44">
                  <c:v>190885.7864520795</c:v>
                </c:pt>
                <c:pt idx="45">
                  <c:v>185749.4387915893</c:v>
                </c:pt>
                <c:pt idx="46">
                  <c:v>204741.213444648</c:v>
                </c:pt>
                <c:pt idx="47">
                  <c:v>197913.5763221808</c:v>
                </c:pt>
                <c:pt idx="48">
                  <c:v>220274.6182664567</c:v>
                </c:pt>
                <c:pt idx="49">
                  <c:v>157755.0972074</c:v>
                </c:pt>
                <c:pt idx="50">
                  <c:v>196638.1197291919</c:v>
                </c:pt>
                <c:pt idx="51">
                  <c:v>191548.0119319788</c:v>
                </c:pt>
                <c:pt idx="52">
                  <c:v>181153.0274031569</c:v>
                </c:pt>
                <c:pt idx="53">
                  <c:v>174736.337788191</c:v>
                </c:pt>
                <c:pt idx="54">
                  <c:v>187714.3868834585</c:v>
                </c:pt>
                <c:pt idx="55">
                  <c:v>189102.098860544</c:v>
                </c:pt>
                <c:pt idx="56">
                  <c:v>187555.6590836757</c:v>
                </c:pt>
                <c:pt idx="57">
                  <c:v>182966.1093314285</c:v>
                </c:pt>
                <c:pt idx="58">
                  <c:v>173275.2972338513</c:v>
                </c:pt>
                <c:pt idx="59">
                  <c:v>176978.988423342</c:v>
                </c:pt>
                <c:pt idx="60">
                  <c:v>191665.8976314489</c:v>
                </c:pt>
                <c:pt idx="61">
                  <c:v>142425.4738413506</c:v>
                </c:pt>
                <c:pt idx="62">
                  <c:v>172838.8082453808</c:v>
                </c:pt>
                <c:pt idx="63">
                  <c:v>170780.4374459504</c:v>
                </c:pt>
                <c:pt idx="64">
                  <c:v>186049.4235183175</c:v>
                </c:pt>
                <c:pt idx="65">
                  <c:v>140617.6629683982</c:v>
                </c:pt>
                <c:pt idx="66">
                  <c:v>160660.8430699958</c:v>
                </c:pt>
                <c:pt idx="67">
                  <c:v>189147.0371320812</c:v>
                </c:pt>
                <c:pt idx="68">
                  <c:v>172975.873556979</c:v>
                </c:pt>
                <c:pt idx="69">
                  <c:v>164905.703351289</c:v>
                </c:pt>
                <c:pt idx="70">
                  <c:v>165091.0760744824</c:v>
                </c:pt>
                <c:pt idx="71">
                  <c:v>155724.1793837136</c:v>
                </c:pt>
                <c:pt idx="72">
                  <c:v>176833.3099266392</c:v>
                </c:pt>
                <c:pt idx="73">
                  <c:v>251766.863281311</c:v>
                </c:pt>
                <c:pt idx="74">
                  <c:v>201317.8009225649</c:v>
                </c:pt>
                <c:pt idx="75">
                  <c:v>190338.7643164128</c:v>
                </c:pt>
                <c:pt idx="76">
                  <c:v>220868.806707399</c:v>
                </c:pt>
                <c:pt idx="77">
                  <c:v>203279.9466103217</c:v>
                </c:pt>
                <c:pt idx="78">
                  <c:v>196851.3570059946</c:v>
                </c:pt>
                <c:pt idx="79">
                  <c:v>194594.068892988</c:v>
                </c:pt>
                <c:pt idx="80">
                  <c:v>206245.4333984835</c:v>
                </c:pt>
                <c:pt idx="81">
                  <c:v>201726.1877210086</c:v>
                </c:pt>
                <c:pt idx="82">
                  <c:v>196139.6874431026</c:v>
                </c:pt>
                <c:pt idx="83">
                  <c:v>191579.8078550256</c:v>
                </c:pt>
                <c:pt idx="84">
                  <c:v>211561.176158751</c:v>
                </c:pt>
                <c:pt idx="85">
                  <c:v>223382.5559053926</c:v>
                </c:pt>
                <c:pt idx="86">
                  <c:v>234695.9678552541</c:v>
                </c:pt>
                <c:pt idx="87">
                  <c:v>179079.2963700384</c:v>
                </c:pt>
                <c:pt idx="88">
                  <c:v>199801.0026711778</c:v>
                </c:pt>
                <c:pt idx="89">
                  <c:v>206391.3967039259</c:v>
                </c:pt>
                <c:pt idx="90">
                  <c:v>210588.8800132491</c:v>
                </c:pt>
                <c:pt idx="91">
                  <c:v>218513.6423478372</c:v>
                </c:pt>
                <c:pt idx="92">
                  <c:v>213618.7109432221</c:v>
                </c:pt>
                <c:pt idx="93">
                  <c:v>212128.4071003966</c:v>
                </c:pt>
                <c:pt idx="94">
                  <c:v>206469.1257237875</c:v>
                </c:pt>
                <c:pt idx="95">
                  <c:v>204176.6921249856</c:v>
                </c:pt>
                <c:pt idx="96">
                  <c:v>219226.728435891</c:v>
                </c:pt>
              </c:numCache>
              <c:extLst>
                <c:ext xmlns:c15="http://schemas.microsoft.com/office/drawing/2012/chart" uri="{02D57815-91ED-43cb-92C2-25804820EDAC}">
                  <c15:fullRef>
                    <c15:sqref>'Grocery &amp; Drug Data'!$S$4:$S$103</c15:sqref>
                  </c15:fullRef>
                </c:ext>
              </c:extLst>
            </c:numRef>
          </c:val>
          <c:smooth val="0"/>
        </c:ser>
        <c:dLbls>
          <c:showLegendKey val="0"/>
          <c:showVal val="0"/>
          <c:showCatName val="0"/>
          <c:showSerName val="0"/>
          <c:showPercent val="0"/>
          <c:showBubbleSize val="0"/>
        </c:dLbls>
        <c:marker val="1"/>
        <c:smooth val="0"/>
        <c:axId val="2118198952"/>
        <c:axId val="2118195048"/>
      </c:lineChart>
      <c:dateAx>
        <c:axId val="211819895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195048"/>
        <c:crosses val="autoZero"/>
        <c:auto val="1"/>
        <c:lblOffset val="100"/>
        <c:baseTimeUnit val="days"/>
      </c:dateAx>
      <c:valAx>
        <c:axId val="2118195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Serving Units Cases</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198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t>Grocery</a:t>
            </a:r>
            <a:r>
              <a:rPr lang="en-US" baseline="0"/>
              <a:t>/Drug</a:t>
            </a:r>
          </a:p>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Percent of Total with Expected Core Percent of Total</a:t>
            </a:r>
            <a:endParaRPr lang="en-US" sz="1400">
              <a:effectLst/>
            </a:endParaRPr>
          </a:p>
        </c:rich>
      </c:tx>
      <c:layout/>
      <c:overlay val="0"/>
      <c:spPr>
        <a:noFill/>
        <a:ln>
          <a:noFill/>
        </a:ln>
        <a:effectLst/>
      </c:spPr>
    </c:title>
    <c:autoTitleDeleted val="0"/>
    <c:plotArea>
      <c:layout/>
      <c:areaChart>
        <c:grouping val="stacked"/>
        <c:varyColors val="0"/>
        <c:ser>
          <c:idx val="0"/>
          <c:order val="0"/>
          <c:tx>
            <c:strRef>
              <c:f>'Grocery &amp; Drug Data'!$G$3</c:f>
              <c:strCache>
                <c:ptCount val="1"/>
                <c:pt idx="0">
                  <c:v>Core as Percent of Total</c:v>
                </c:pt>
              </c:strCache>
            </c:strRef>
          </c:tx>
          <c:spPr>
            <a:solidFill>
              <a:sysClr val="window" lastClr="FFFFFF">
                <a:lumMod val="100000"/>
              </a:sysClr>
            </a:solidFill>
            <a:ln w="9525" cap="flat" cmpd="sng" algn="ctr">
              <a:solidFill>
                <a:srgbClr val="44546A">
                  <a:lumMod val="100000"/>
                </a:srgbClr>
              </a:solidFill>
              <a:prstDash val="solid"/>
              <a:round/>
              <a:headEnd type="none" w="med" len="med"/>
              <a:tailEnd type="none" w="med" len="med"/>
            </a:ln>
            <a:effectLst/>
          </c:spP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Data'!$G$7:$G$103</c:f>
              <c:numCache>
                <c:formatCode>General</c:formatCode>
                <c:ptCount val="97"/>
                <c:pt idx="0">
                  <c:v>0.652987293604697</c:v>
                </c:pt>
                <c:pt idx="1">
                  <c:v>0.651741059102933</c:v>
                </c:pt>
                <c:pt idx="2">
                  <c:v>0.652772100010705</c:v>
                </c:pt>
                <c:pt idx="3">
                  <c:v>0.657245058261704</c:v>
                </c:pt>
                <c:pt idx="4">
                  <c:v>0.64911705301843</c:v>
                </c:pt>
                <c:pt idx="5">
                  <c:v>0.654438552299006</c:v>
                </c:pt>
                <c:pt idx="6">
                  <c:v>0.658454381381252</c:v>
                </c:pt>
                <c:pt idx="7">
                  <c:v>0.660398586808243</c:v>
                </c:pt>
                <c:pt idx="8">
                  <c:v>0.651865781340022</c:v>
                </c:pt>
                <c:pt idx="9">
                  <c:v>0.648627897018394</c:v>
                </c:pt>
                <c:pt idx="10">
                  <c:v>0.643605152722815</c:v>
                </c:pt>
                <c:pt idx="11">
                  <c:v>0.658230568589841</c:v>
                </c:pt>
                <c:pt idx="12">
                  <c:v>0.659443973909446</c:v>
                </c:pt>
                <c:pt idx="13">
                  <c:v>0.647904600671871</c:v>
                </c:pt>
                <c:pt idx="14">
                  <c:v>0.646119873096822</c:v>
                </c:pt>
                <c:pt idx="15">
                  <c:v>0.650754573091531</c:v>
                </c:pt>
                <c:pt idx="16">
                  <c:v>0.657011230466619</c:v>
                </c:pt>
                <c:pt idx="17">
                  <c:v>0.656721793896002</c:v>
                </c:pt>
                <c:pt idx="18">
                  <c:v>0.649849311304045</c:v>
                </c:pt>
                <c:pt idx="19">
                  <c:v>0.649440946098208</c:v>
                </c:pt>
                <c:pt idx="20">
                  <c:v>0.658329959088166</c:v>
                </c:pt>
                <c:pt idx="21">
                  <c:v>0.662855422613455</c:v>
                </c:pt>
                <c:pt idx="22">
                  <c:v>0.664205035778109</c:v>
                </c:pt>
                <c:pt idx="23">
                  <c:v>0.658211360469919</c:v>
                </c:pt>
                <c:pt idx="24">
                  <c:v>0.661809477357026</c:v>
                </c:pt>
                <c:pt idx="25">
                  <c:v>0.658598642060094</c:v>
                </c:pt>
                <c:pt idx="26">
                  <c:v>0.651996743150262</c:v>
                </c:pt>
                <c:pt idx="27">
                  <c:v>0.648108989830276</c:v>
                </c:pt>
                <c:pt idx="28">
                  <c:v>0.658004813432726</c:v>
                </c:pt>
                <c:pt idx="29">
                  <c:v>0.651714519511536</c:v>
                </c:pt>
                <c:pt idx="30">
                  <c:v>0.645172484722285</c:v>
                </c:pt>
                <c:pt idx="31">
                  <c:v>0.648262225486163</c:v>
                </c:pt>
                <c:pt idx="32">
                  <c:v>0.656445693595237</c:v>
                </c:pt>
                <c:pt idx="33">
                  <c:v>0.660056608742884</c:v>
                </c:pt>
                <c:pt idx="34">
                  <c:v>0.650866453968951</c:v>
                </c:pt>
                <c:pt idx="35">
                  <c:v>0.6506248217785</c:v>
                </c:pt>
                <c:pt idx="36">
                  <c:v>0.652689185543422</c:v>
                </c:pt>
                <c:pt idx="37">
                  <c:v>0.657663879301209</c:v>
                </c:pt>
                <c:pt idx="38">
                  <c:v>0.662220911924708</c:v>
                </c:pt>
                <c:pt idx="39">
                  <c:v>0.656783285647096</c:v>
                </c:pt>
                <c:pt idx="40">
                  <c:v>0.654177044090133</c:v>
                </c:pt>
                <c:pt idx="41">
                  <c:v>0.656663860732494</c:v>
                </c:pt>
                <c:pt idx="42">
                  <c:v>0.662749802106885</c:v>
                </c:pt>
                <c:pt idx="43">
                  <c:v>0.653160920244873</c:v>
                </c:pt>
                <c:pt idx="44">
                  <c:v>0.659307188575472</c:v>
                </c:pt>
                <c:pt idx="45">
                  <c:v>0.658658501694715</c:v>
                </c:pt>
                <c:pt idx="46">
                  <c:v>0.661916658268148</c:v>
                </c:pt>
                <c:pt idx="47">
                  <c:v>0.656632716477172</c:v>
                </c:pt>
                <c:pt idx="48">
                  <c:v>0.659786201906825</c:v>
                </c:pt>
                <c:pt idx="49">
                  <c:v>0.651980927418746</c:v>
                </c:pt>
                <c:pt idx="50">
                  <c:v>0.659016233494301</c:v>
                </c:pt>
                <c:pt idx="51">
                  <c:v>0.656634390642074</c:v>
                </c:pt>
                <c:pt idx="52">
                  <c:v>0.649745837649775</c:v>
                </c:pt>
                <c:pt idx="53">
                  <c:v>0.647596425696461</c:v>
                </c:pt>
                <c:pt idx="54">
                  <c:v>0.654259375131358</c:v>
                </c:pt>
                <c:pt idx="55">
                  <c:v>0.655639175880272</c:v>
                </c:pt>
                <c:pt idx="56">
                  <c:v>0.652273294121509</c:v>
                </c:pt>
                <c:pt idx="57">
                  <c:v>0.647551244578906</c:v>
                </c:pt>
                <c:pt idx="58">
                  <c:v>0.65330446144755</c:v>
                </c:pt>
                <c:pt idx="59">
                  <c:v>0.664548304721105</c:v>
                </c:pt>
                <c:pt idx="60">
                  <c:v>0.664050335638847</c:v>
                </c:pt>
                <c:pt idx="61">
                  <c:v>0.66108629886615</c:v>
                </c:pt>
                <c:pt idx="62">
                  <c:v>0.664444805396945</c:v>
                </c:pt>
                <c:pt idx="63">
                  <c:v>0.672860095960421</c:v>
                </c:pt>
                <c:pt idx="64">
                  <c:v>0.684514534510406</c:v>
                </c:pt>
                <c:pt idx="65">
                  <c:v>0.675943326870481</c:v>
                </c:pt>
                <c:pt idx="66">
                  <c:v>0.68188110739381</c:v>
                </c:pt>
                <c:pt idx="67">
                  <c:v>0.670934016408465</c:v>
                </c:pt>
                <c:pt idx="68">
                  <c:v>0.688475674448995</c:v>
                </c:pt>
                <c:pt idx="69">
                  <c:v>0.688622695559209</c:v>
                </c:pt>
                <c:pt idx="70">
                  <c:v>0.695031160323816</c:v>
                </c:pt>
                <c:pt idx="71">
                  <c:v>0.690646040791511</c:v>
                </c:pt>
                <c:pt idx="72">
                  <c:v>0.608184703394099</c:v>
                </c:pt>
                <c:pt idx="73">
                  <c:v>0.356359544668057</c:v>
                </c:pt>
                <c:pt idx="74">
                  <c:v>0.501961291341827</c:v>
                </c:pt>
                <c:pt idx="75">
                  <c:v>0.555097125494007</c:v>
                </c:pt>
                <c:pt idx="76">
                  <c:v>0.570370434397042</c:v>
                </c:pt>
                <c:pt idx="77">
                  <c:v>0.581028523941674</c:v>
                </c:pt>
                <c:pt idx="78">
                  <c:v>0.596627847201802</c:v>
                </c:pt>
                <c:pt idx="79">
                  <c:v>0.590439680873933</c:v>
                </c:pt>
                <c:pt idx="80">
                  <c:v>0.600345671388999</c:v>
                </c:pt>
                <c:pt idx="81">
                  <c:v>0.60729285772924</c:v>
                </c:pt>
                <c:pt idx="82">
                  <c:v>0.614577759163973</c:v>
                </c:pt>
                <c:pt idx="83">
                  <c:v>0.61588311108449</c:v>
                </c:pt>
                <c:pt idx="84">
                  <c:v>0.618185056404014</c:v>
                </c:pt>
                <c:pt idx="85">
                  <c:v>0.613281394039708</c:v>
                </c:pt>
                <c:pt idx="86">
                  <c:v>0.623223041212572</c:v>
                </c:pt>
                <c:pt idx="87">
                  <c:v>0.625903896148894</c:v>
                </c:pt>
                <c:pt idx="88">
                  <c:v>0.616135949527544</c:v>
                </c:pt>
                <c:pt idx="89">
                  <c:v>0.62596022637046</c:v>
                </c:pt>
                <c:pt idx="90">
                  <c:v>0.626411968738168</c:v>
                </c:pt>
                <c:pt idx="91">
                  <c:v>0.62336358507704</c:v>
                </c:pt>
                <c:pt idx="92">
                  <c:v>0.626654510073072</c:v>
                </c:pt>
                <c:pt idx="93">
                  <c:v>0.6098783833602</c:v>
                </c:pt>
                <c:pt idx="94">
                  <c:v>0.610374317478038</c:v>
                </c:pt>
                <c:pt idx="95">
                  <c:v>0.61463741382508</c:v>
                </c:pt>
                <c:pt idx="96">
                  <c:v>0.614718544286069</c:v>
                </c:pt>
              </c:numCache>
              <c:extLst>
                <c:ext xmlns:c15="http://schemas.microsoft.com/office/drawing/2012/chart" uri="{02D57815-91ED-43cb-92C2-25804820EDAC}">
                  <c15:fullRef>
                    <c15:sqref>'Grocery &amp; Drug Data'!$G$4:$G$103</c15:sqref>
                  </c15:fullRef>
                </c:ext>
              </c:extLst>
            </c:numRef>
          </c:val>
        </c:ser>
        <c:ser>
          <c:idx val="1"/>
          <c:order val="1"/>
          <c:tx>
            <c:strRef>
              <c:f>'Grocery &amp; Drug Data'!$M$3</c:f>
              <c:strCache>
                <c:ptCount val="1"/>
                <c:pt idx="0">
                  <c:v>New Net Blue/Red as Percent of Total</c:v>
                </c:pt>
              </c:strCache>
            </c:strRef>
          </c:tx>
          <c:spPr>
            <a:solidFill>
              <a:srgbClr val="4472C4">
                <a:lumMod val="40000"/>
                <a:lumOff val="60000"/>
              </a:srgbClr>
            </a:solidFill>
            <a:ln>
              <a:noFill/>
            </a:ln>
            <a:effectLst/>
          </c:spP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Data'!$M$7:$M$103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-4.09609878179592E-6</c:v>
                </c:pt>
                <c:pt idx="61">
                  <c:v>0.0</c:v>
                </c:pt>
                <c:pt idx="62">
                  <c:v>0.0</c:v>
                </c:pt>
                <c:pt idx="63">
                  <c:v>0.0</c:v>
                </c:pt>
                <c:pt idx="64">
                  <c:v>0.0</c:v>
                </c:pt>
                <c:pt idx="65">
                  <c:v>0.0</c:v>
                </c:pt>
                <c:pt idx="66">
                  <c:v>0.0</c:v>
                </c:pt>
                <c:pt idx="67">
                  <c:v>-4.23358688637995E-7</c:v>
                </c:pt>
                <c:pt idx="68">
                  <c:v>0.0</c:v>
                </c:pt>
                <c:pt idx="69">
                  <c:v>-5.02205715854355E-6</c:v>
                </c:pt>
                <c:pt idx="70">
                  <c:v>0.0</c:v>
                </c:pt>
                <c:pt idx="71">
                  <c:v>0.0428167451138608</c:v>
                </c:pt>
                <c:pt idx="72">
                  <c:v>0.0738796861390695</c:v>
                </c:pt>
                <c:pt idx="73">
                  <c:v>0.179572109569945</c:v>
                </c:pt>
                <c:pt idx="74">
                  <c:v>0.11447173960498</c:v>
                </c:pt>
                <c:pt idx="75">
                  <c:v>0.0941513212494945</c:v>
                </c:pt>
                <c:pt idx="76">
                  <c:v>0.0913069033254206</c:v>
                </c:pt>
                <c:pt idx="77">
                  <c:v>0.0865733816697628</c:v>
                </c:pt>
                <c:pt idx="78">
                  <c:v>0.0815738016326776</c:v>
                </c:pt>
                <c:pt idx="79">
                  <c:v>0.0861246834232978</c:v>
                </c:pt>
                <c:pt idx="80">
                  <c:v>0.0847592752580457</c:v>
                </c:pt>
                <c:pt idx="81">
                  <c:v>0.0818035682120236</c:v>
                </c:pt>
                <c:pt idx="82">
                  <c:v>0.0777273046472947</c:v>
                </c:pt>
                <c:pt idx="83">
                  <c:v>0.0733921612552675</c:v>
                </c:pt>
                <c:pt idx="84">
                  <c:v>0.0751540222032408</c:v>
                </c:pt>
                <c:pt idx="85">
                  <c:v>0.0783851439436471</c:v>
                </c:pt>
                <c:pt idx="86">
                  <c:v>0.0745275867594882</c:v>
                </c:pt>
                <c:pt idx="87">
                  <c:v>0.0726554356016471</c:v>
                </c:pt>
                <c:pt idx="88">
                  <c:v>0.0733944314201287</c:v>
                </c:pt>
                <c:pt idx="89">
                  <c:v>0.0724811286697952</c:v>
                </c:pt>
                <c:pt idx="90">
                  <c:v>0.0738581308130655</c:v>
                </c:pt>
                <c:pt idx="91">
                  <c:v>0.0743275850361951</c:v>
                </c:pt>
                <c:pt idx="92">
                  <c:v>0.0724535398607253</c:v>
                </c:pt>
                <c:pt idx="93">
                  <c:v>0.0798711530701666</c:v>
                </c:pt>
                <c:pt idx="94">
                  <c:v>0.0823946969034486</c:v>
                </c:pt>
                <c:pt idx="95">
                  <c:v>0.080313788225259</c:v>
                </c:pt>
                <c:pt idx="96">
                  <c:v>0.0800038086398811</c:v>
                </c:pt>
              </c:numCache>
              <c:extLst>
                <c:ext xmlns:c15="http://schemas.microsoft.com/office/drawing/2012/chart" uri="{02D57815-91ED-43cb-92C2-25804820EDAC}">
                  <c15:fullRef>
                    <c15:sqref>'Grocery &amp; Drug Data'!$M$4:$M$103</c15:sqref>
                  </c15:fullRef>
                </c:ext>
              </c:extLst>
            </c:numRef>
          </c:val>
        </c:ser>
        <c:ser>
          <c:idx val="2"/>
          <c:order val="2"/>
          <c:tx>
            <c:strRef>
              <c:f>'Grocery &amp; Drug Data'!$O$3</c:f>
              <c:strCache>
                <c:ptCount val="1"/>
                <c:pt idx="0">
                  <c:v>New Flavors as Percent of Total</c:v>
                </c:pt>
              </c:strCache>
            </c:strRef>
          </c:tx>
          <c:spPr>
            <a:solidFill>
              <a:srgbClr val="FFC000">
                <a:lumMod val="40000"/>
                <a:lumOff val="60000"/>
              </a:srgbClr>
            </a:solidFill>
            <a:ln>
              <a:noFill/>
            </a:ln>
            <a:effectLst/>
          </c:spP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Data'!$O$7:$O$103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4.34810300227326E-6</c:v>
                </c:pt>
                <c:pt idx="40">
                  <c:v>5.21518553316347E-6</c:v>
                </c:pt>
                <c:pt idx="41">
                  <c:v>9.68072854981493E-6</c:v>
                </c:pt>
                <c:pt idx="42">
                  <c:v>5.38893035045573E-5</c:v>
                </c:pt>
                <c:pt idx="43">
                  <c:v>0.0</c:v>
                </c:pt>
                <c:pt idx="44">
                  <c:v>0.0</c:v>
                </c:pt>
                <c:pt idx="45">
                  <c:v>0.0</c:v>
                </c:pt>
                <c:pt idx="46">
                  <c:v>0.0</c:v>
                </c:pt>
                <c:pt idx="47">
                  <c:v>4.74715610247251E-6</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-2.04191583176709E-6</c:v>
                </c:pt>
                <c:pt idx="63">
                  <c:v>0.0</c:v>
                </c:pt>
                <c:pt idx="64">
                  <c:v>0.0</c:v>
                </c:pt>
                <c:pt idx="65">
                  <c:v>0.0</c:v>
                </c:pt>
                <c:pt idx="66">
                  <c:v>0.0</c:v>
                </c:pt>
                <c:pt idx="67">
                  <c:v>5.00974448221627E-6</c:v>
                </c:pt>
                <c:pt idx="68">
                  <c:v>-1.35080842024499E-6</c:v>
                </c:pt>
                <c:pt idx="69">
                  <c:v>0.0</c:v>
                </c:pt>
                <c:pt idx="70">
                  <c:v>-5.01854758052583E-6</c:v>
                </c:pt>
                <c:pt idx="71">
                  <c:v>0.00234176174399631</c:v>
                </c:pt>
                <c:pt idx="72">
                  <c:v>0.0924556174977227</c:v>
                </c:pt>
                <c:pt idx="73">
                  <c:v>0.328794283385768</c:v>
                </c:pt>
                <c:pt idx="74">
                  <c:v>0.198383718269811</c:v>
                </c:pt>
                <c:pt idx="75">
                  <c:v>0.139231289651064</c:v>
                </c:pt>
                <c:pt idx="76">
                  <c:v>0.129539793469502</c:v>
                </c:pt>
                <c:pt idx="77">
                  <c:v>0.112866147480922</c:v>
                </c:pt>
                <c:pt idx="78">
                  <c:v>0.0986629554846841</c:v>
                </c:pt>
                <c:pt idx="79">
                  <c:v>0.0994833680538429</c:v>
                </c:pt>
                <c:pt idx="80">
                  <c:v>0.092024230507021</c:v>
                </c:pt>
                <c:pt idx="81">
                  <c:v>0.0855731507490598</c:v>
                </c:pt>
                <c:pt idx="82">
                  <c:v>0.0778775108392753</c:v>
                </c:pt>
                <c:pt idx="83">
                  <c:v>0.0755487790422916</c:v>
                </c:pt>
                <c:pt idx="84">
                  <c:v>0.0739335803890075</c:v>
                </c:pt>
                <c:pt idx="85">
                  <c:v>0.0767091604547244</c:v>
                </c:pt>
                <c:pt idx="86">
                  <c:v>0.0708970903719989</c:v>
                </c:pt>
                <c:pt idx="87">
                  <c:v>0.0678460679152902</c:v>
                </c:pt>
                <c:pt idx="88">
                  <c:v>0.06838431282242</c:v>
                </c:pt>
                <c:pt idx="89">
                  <c:v>0.0667915171712086</c:v>
                </c:pt>
                <c:pt idx="90">
                  <c:v>0.0680110881188547</c:v>
                </c:pt>
                <c:pt idx="91">
                  <c:v>0.068815999362764</c:v>
                </c:pt>
                <c:pt idx="92">
                  <c:v>0.0655618499321558</c:v>
                </c:pt>
                <c:pt idx="93">
                  <c:v>0.0719420696427719</c:v>
                </c:pt>
                <c:pt idx="94">
                  <c:v>0.0725319899606648</c:v>
                </c:pt>
                <c:pt idx="95">
                  <c:v>0.0708795576435702</c:v>
                </c:pt>
                <c:pt idx="96">
                  <c:v>0.0685482148849412</c:v>
                </c:pt>
              </c:numCache>
              <c:extLst>
                <c:ext xmlns:c15="http://schemas.microsoft.com/office/drawing/2012/chart" uri="{02D57815-91ED-43cb-92C2-25804820EDAC}">
                  <c15:fullRef>
                    <c15:sqref>'Grocery &amp; Drug Data'!$O$4:$O$103</c15:sqref>
                  </c15:fullRef>
                </c:ext>
              </c:extLst>
            </c:numRef>
          </c:val>
        </c:ser>
        <c:dLbls>
          <c:showLegendKey val="0"/>
          <c:showVal val="0"/>
          <c:showCatName val="0"/>
          <c:showSerName val="0"/>
          <c:showPercent val="0"/>
          <c:showBubbleSize val="0"/>
        </c:dLbls>
        <c:axId val="2117388200"/>
        <c:axId val="2117384440"/>
      </c:areaChart>
      <c:lineChart>
        <c:grouping val="standard"/>
        <c:varyColors val="0"/>
        <c:ser>
          <c:idx val="3"/>
          <c:order val="3"/>
          <c:tx>
            <c:strRef>
              <c:f>'Grocery &amp; Drug Data'!$T$3</c:f>
              <c:strCache>
                <c:ptCount val="1"/>
                <c:pt idx="0">
                  <c:v>Expected Core as Percent of Total</c:v>
                </c:pt>
              </c:strCache>
            </c:strRef>
          </c:tx>
          <c:spPr>
            <a:ln w="28575" cap="rnd" cmpd="sng" algn="ctr">
              <a:solidFill>
                <a:srgbClr val="44546A">
                  <a:lumMod val="100000"/>
                </a:srgbClr>
              </a:solidFill>
              <a:prstDash val="solid"/>
              <a:round/>
              <a:headEnd type="none" w="med" len="med"/>
              <a:tailEnd type="none" w="med" len="med"/>
            </a:ln>
            <a:effectLst/>
          </c:spPr>
          <c:marker>
            <c:symbol val="none"/>
          </c:marker>
          <c:cat>
            <c:numRef>
              <c:f>'Grocery &amp; Drug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'Grocery &amp; Drug Data'!$D$4:$D$103</c15:sqref>
                  </c15:fullRef>
                </c:ext>
              </c:extLst>
            </c:numRef>
          </c:cat>
          <c:val>
            <c:numRef>
              <c:f>'Grocery &amp; Drug Data'!$T$7:$T$103</c:f>
              <c:numCache>
                <c:formatCode>General</c:formatCode>
                <c:ptCount val="97"/>
                <c:pt idx="0">
                  <c:v>0.64831351</c:v>
                </c:pt>
                <c:pt idx="1">
                  <c:v>0.64859702</c:v>
                </c:pt>
                <c:pt idx="2">
                  <c:v>0.64888053</c:v>
                </c:pt>
                <c:pt idx="3">
                  <c:v>0.64916404</c:v>
                </c:pt>
                <c:pt idx="4">
                  <c:v>0.64944755</c:v>
                </c:pt>
                <c:pt idx="5">
                  <c:v>0.64973106</c:v>
                </c:pt>
                <c:pt idx="6">
                  <c:v>0.65001457</c:v>
                </c:pt>
                <c:pt idx="7">
                  <c:v>0.65029808</c:v>
                </c:pt>
                <c:pt idx="8">
                  <c:v>0.65058159</c:v>
                </c:pt>
                <c:pt idx="9">
                  <c:v>0.6508651</c:v>
                </c:pt>
                <c:pt idx="10">
                  <c:v>0.65114861</c:v>
                </c:pt>
                <c:pt idx="11">
                  <c:v>0.65143212</c:v>
                </c:pt>
                <c:pt idx="12">
                  <c:v>0.65171563</c:v>
                </c:pt>
                <c:pt idx="13">
                  <c:v>0.65199914</c:v>
                </c:pt>
                <c:pt idx="14">
                  <c:v>0.65228265</c:v>
                </c:pt>
                <c:pt idx="15">
                  <c:v>0.65256616</c:v>
                </c:pt>
                <c:pt idx="16">
                  <c:v>0.65284967</c:v>
                </c:pt>
                <c:pt idx="17">
                  <c:v>0.65313318</c:v>
                </c:pt>
                <c:pt idx="18">
                  <c:v>0.65341669</c:v>
                </c:pt>
                <c:pt idx="19">
                  <c:v>0.6537002</c:v>
                </c:pt>
                <c:pt idx="20">
                  <c:v>0.65398371</c:v>
                </c:pt>
                <c:pt idx="21">
                  <c:v>0.65426722</c:v>
                </c:pt>
                <c:pt idx="22">
                  <c:v>0.65455073</c:v>
                </c:pt>
                <c:pt idx="23">
                  <c:v>0.65483424</c:v>
                </c:pt>
                <c:pt idx="24">
                  <c:v>0.65511775</c:v>
                </c:pt>
                <c:pt idx="25">
                  <c:v>0.65540126</c:v>
                </c:pt>
                <c:pt idx="26">
                  <c:v>0.65568477</c:v>
                </c:pt>
                <c:pt idx="27">
                  <c:v>0.65596828</c:v>
                </c:pt>
                <c:pt idx="28">
                  <c:v>0.65625179</c:v>
                </c:pt>
                <c:pt idx="29">
                  <c:v>0.6565353</c:v>
                </c:pt>
                <c:pt idx="30">
                  <c:v>0.65681881</c:v>
                </c:pt>
                <c:pt idx="31">
                  <c:v>0.65710232</c:v>
                </c:pt>
                <c:pt idx="32">
                  <c:v>0.65738583</c:v>
                </c:pt>
                <c:pt idx="33">
                  <c:v>0.65766934</c:v>
                </c:pt>
                <c:pt idx="34">
                  <c:v>0.65795285</c:v>
                </c:pt>
                <c:pt idx="35">
                  <c:v>0.65823636</c:v>
                </c:pt>
                <c:pt idx="36">
                  <c:v>0.65851987</c:v>
                </c:pt>
                <c:pt idx="37">
                  <c:v>0.65880338</c:v>
                </c:pt>
                <c:pt idx="38">
                  <c:v>0.65908689</c:v>
                </c:pt>
                <c:pt idx="39">
                  <c:v>0.6593704</c:v>
                </c:pt>
                <c:pt idx="40">
                  <c:v>0.65965391</c:v>
                </c:pt>
                <c:pt idx="41">
                  <c:v>0.65993742</c:v>
                </c:pt>
                <c:pt idx="42">
                  <c:v>0.66022093</c:v>
                </c:pt>
                <c:pt idx="43">
                  <c:v>0.66050444</c:v>
                </c:pt>
                <c:pt idx="44">
                  <c:v>0.66078795</c:v>
                </c:pt>
                <c:pt idx="45">
                  <c:v>0.66107146</c:v>
                </c:pt>
                <c:pt idx="46">
                  <c:v>0.66135497</c:v>
                </c:pt>
                <c:pt idx="47">
                  <c:v>0.66163848</c:v>
                </c:pt>
                <c:pt idx="48">
                  <c:v>0.66192199</c:v>
                </c:pt>
                <c:pt idx="49">
                  <c:v>0.6622055</c:v>
                </c:pt>
                <c:pt idx="50">
                  <c:v>0.66248901</c:v>
                </c:pt>
                <c:pt idx="51">
                  <c:v>0.66277252</c:v>
                </c:pt>
                <c:pt idx="52">
                  <c:v>0.66305603</c:v>
                </c:pt>
                <c:pt idx="53">
                  <c:v>0.66333954</c:v>
                </c:pt>
                <c:pt idx="54">
                  <c:v>0.66362305</c:v>
                </c:pt>
                <c:pt idx="55">
                  <c:v>0.66390656</c:v>
                </c:pt>
                <c:pt idx="56">
                  <c:v>0.66419007</c:v>
                </c:pt>
                <c:pt idx="57">
                  <c:v>0.66447358</c:v>
                </c:pt>
                <c:pt idx="58">
                  <c:v>0.66475709</c:v>
                </c:pt>
                <c:pt idx="59">
                  <c:v>0.6650406</c:v>
                </c:pt>
                <c:pt idx="60">
                  <c:v>0.66532411</c:v>
                </c:pt>
                <c:pt idx="61">
                  <c:v>0.66560762</c:v>
                </c:pt>
                <c:pt idx="62">
                  <c:v>0.66589113</c:v>
                </c:pt>
                <c:pt idx="63">
                  <c:v>0.66617464</c:v>
                </c:pt>
                <c:pt idx="64">
                  <c:v>0.66645815</c:v>
                </c:pt>
                <c:pt idx="65">
                  <c:v>0.66674166</c:v>
                </c:pt>
                <c:pt idx="66">
                  <c:v>0.66702517</c:v>
                </c:pt>
                <c:pt idx="67">
                  <c:v>0.66730868</c:v>
                </c:pt>
                <c:pt idx="68">
                  <c:v>0.66759219</c:v>
                </c:pt>
                <c:pt idx="69">
                  <c:v>0.6678757</c:v>
                </c:pt>
                <c:pt idx="70">
                  <c:v>0.66815921</c:v>
                </c:pt>
                <c:pt idx="71">
                  <c:v>0.66844272</c:v>
                </c:pt>
                <c:pt idx="72">
                  <c:v>0.66872623</c:v>
                </c:pt>
                <c:pt idx="73">
                  <c:v>0.66900974</c:v>
                </c:pt>
                <c:pt idx="74">
                  <c:v>0.66929325</c:v>
                </c:pt>
                <c:pt idx="75">
                  <c:v>0.66957676</c:v>
                </c:pt>
                <c:pt idx="76">
                  <c:v>0.66986027</c:v>
                </c:pt>
                <c:pt idx="77">
                  <c:v>0.67014378</c:v>
                </c:pt>
                <c:pt idx="78">
                  <c:v>0.67042729</c:v>
                </c:pt>
                <c:pt idx="79">
                  <c:v>0.6707108</c:v>
                </c:pt>
                <c:pt idx="80">
                  <c:v>0.67099431</c:v>
                </c:pt>
                <c:pt idx="81">
                  <c:v>0.67127782</c:v>
                </c:pt>
                <c:pt idx="82">
                  <c:v>0.67156133</c:v>
                </c:pt>
                <c:pt idx="83">
                  <c:v>0.67184484</c:v>
                </c:pt>
                <c:pt idx="84">
                  <c:v>0.67212835</c:v>
                </c:pt>
                <c:pt idx="85">
                  <c:v>0.67241186</c:v>
                </c:pt>
                <c:pt idx="86">
                  <c:v>0.67269537</c:v>
                </c:pt>
                <c:pt idx="87">
                  <c:v>0.67297888</c:v>
                </c:pt>
                <c:pt idx="88">
                  <c:v>0.67326239</c:v>
                </c:pt>
                <c:pt idx="89">
                  <c:v>0.6735459</c:v>
                </c:pt>
                <c:pt idx="90">
                  <c:v>0.67382941</c:v>
                </c:pt>
                <c:pt idx="91">
                  <c:v>0.67411292</c:v>
                </c:pt>
                <c:pt idx="92">
                  <c:v>0.67439643</c:v>
                </c:pt>
                <c:pt idx="93">
                  <c:v>0.67467994</c:v>
                </c:pt>
                <c:pt idx="94">
                  <c:v>0.67496345</c:v>
                </c:pt>
                <c:pt idx="95">
                  <c:v>0.67524696</c:v>
                </c:pt>
                <c:pt idx="96">
                  <c:v>0.67553047</c:v>
                </c:pt>
              </c:numCache>
              <c:extLst>
                <c:ext xmlns:c15="http://schemas.microsoft.com/office/drawing/2012/chart" uri="{02D57815-91ED-43cb-92C2-25804820EDAC}">
                  <c15:fullRef>
                    <c15:sqref>'Grocery &amp; Drug Data'!$T$4:$T$103</c15:sqref>
                  </c15:fullRef>
                </c:ext>
              </c:extLst>
            </c:numRef>
          </c:val>
          <c:smooth val="0"/>
        </c:ser>
        <c:dLbls>
          <c:showLegendKey val="0"/>
          <c:showVal val="0"/>
          <c:showCatName val="0"/>
          <c:showSerName val="0"/>
          <c:showPercent val="0"/>
          <c:showBubbleSize val="0"/>
        </c:dLbls>
        <c:marker val="1"/>
        <c:smooth val="0"/>
        <c:axId val="2117388200"/>
        <c:axId val="2117384440"/>
      </c:lineChart>
      <c:dateAx>
        <c:axId val="211738820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384440"/>
        <c:crosses val="autoZero"/>
        <c:auto val="1"/>
        <c:lblOffset val="100"/>
        <c:baseTimeUnit val="days"/>
      </c:dateAx>
      <c:valAx>
        <c:axId val="21173844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 of Total</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388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Mass Merchandise</a:t>
            </a:r>
          </a:p>
          <a:p>
            <a:pPr>
              <a:defRPr sz="1400" b="0" i="0" u="none" strike="noStrike" kern="1200" spc="0" baseline="0">
                <a:solidFill>
                  <a:schemeClr val="tx1">
                    <a:lumMod val="65000"/>
                    <a:lumOff val="35000"/>
                  </a:schemeClr>
                </a:solidFill>
                <a:latin typeface="+mn-lt"/>
                <a:ea typeface="+mn-ea"/>
                <a:cs typeface="+mn-cs"/>
              </a:defRPr>
            </a:pPr>
            <a:r>
              <a:rPr lang="en-US"/>
              <a:t>Volume</a:t>
            </a:r>
            <a:r>
              <a:rPr lang="en-US" baseline="0"/>
              <a:t> with Expected Core Volume</a:t>
            </a:r>
            <a:endParaRPr lang="en-US"/>
          </a:p>
        </c:rich>
      </c:tx>
      <c:layout/>
      <c:overlay val="0"/>
      <c:spPr>
        <a:noFill/>
        <a:ln>
          <a:noFill/>
        </a:ln>
        <a:effectLst/>
      </c:spPr>
    </c:title>
    <c:autoTitleDeleted val="0"/>
    <c:plotArea>
      <c:layout/>
      <c:areaChart>
        <c:grouping val="stacked"/>
        <c:varyColors val="0"/>
        <c:ser>
          <c:idx val="0"/>
          <c:order val="0"/>
          <c:tx>
            <c:strRef>
              <c:f>'Mass Merch Data'!$F$3</c:f>
              <c:strCache>
                <c:ptCount val="1"/>
                <c:pt idx="0">
                  <c:v>Core</c:v>
                </c:pt>
              </c:strCache>
            </c:strRef>
          </c:tx>
          <c:spPr>
            <a:solidFill>
              <a:sysClr val="window" lastClr="FFFFFF">
                <a:lumMod val="100000"/>
              </a:sysClr>
            </a:solidFill>
            <a:ln w="9525" cap="flat" cmpd="sng" algn="ctr">
              <a:solidFill>
                <a:srgbClr val="44546A">
                  <a:lumMod val="100000"/>
                </a:srgbClr>
              </a:solidFill>
              <a:prstDash val="solid"/>
              <a:round/>
              <a:headEnd type="none" w="med" len="med"/>
              <a:tailEnd type="none" w="med" len="med"/>
            </a:ln>
            <a:effectLst/>
          </c:spP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Data'!$F$7:$F$103</c:f>
              <c:numCache>
                <c:formatCode>General</c:formatCode>
                <c:ptCount val="97"/>
                <c:pt idx="0">
                  <c:v>64803.46000000001</c:v>
                </c:pt>
                <c:pt idx="1">
                  <c:v>57253.94</c:v>
                </c:pt>
                <c:pt idx="2">
                  <c:v>64290.37</c:v>
                </c:pt>
                <c:pt idx="3">
                  <c:v>72393.87</c:v>
                </c:pt>
                <c:pt idx="4">
                  <c:v>63287.37</c:v>
                </c:pt>
                <c:pt idx="5">
                  <c:v>60663.08</c:v>
                </c:pt>
                <c:pt idx="6">
                  <c:v>64309.83000000001</c:v>
                </c:pt>
                <c:pt idx="7">
                  <c:v>69090.75</c:v>
                </c:pt>
                <c:pt idx="8">
                  <c:v>69515.0</c:v>
                </c:pt>
                <c:pt idx="9">
                  <c:v>59935.03</c:v>
                </c:pt>
                <c:pt idx="10">
                  <c:v>67041.7</c:v>
                </c:pt>
                <c:pt idx="11">
                  <c:v>68510.89</c:v>
                </c:pt>
                <c:pt idx="12">
                  <c:v>74220.65999999998</c:v>
                </c:pt>
                <c:pt idx="13">
                  <c:v>74445.1</c:v>
                </c:pt>
                <c:pt idx="14">
                  <c:v>64650.24000000001</c:v>
                </c:pt>
                <c:pt idx="15">
                  <c:v>69923.98</c:v>
                </c:pt>
                <c:pt idx="16">
                  <c:v>66917.64</c:v>
                </c:pt>
                <c:pt idx="17">
                  <c:v>67535.25</c:v>
                </c:pt>
                <c:pt idx="18">
                  <c:v>64456.3</c:v>
                </c:pt>
                <c:pt idx="19">
                  <c:v>61864.11000000001</c:v>
                </c:pt>
                <c:pt idx="20">
                  <c:v>69926.7</c:v>
                </c:pt>
                <c:pt idx="21">
                  <c:v>78122.37</c:v>
                </c:pt>
                <c:pt idx="22">
                  <c:v>72881.25000000001</c:v>
                </c:pt>
                <c:pt idx="23">
                  <c:v>75738.03000000001</c:v>
                </c:pt>
                <c:pt idx="24">
                  <c:v>79643.38</c:v>
                </c:pt>
                <c:pt idx="25">
                  <c:v>77439.75</c:v>
                </c:pt>
                <c:pt idx="26">
                  <c:v>73587.5</c:v>
                </c:pt>
                <c:pt idx="27">
                  <c:v>68435.85</c:v>
                </c:pt>
                <c:pt idx="28">
                  <c:v>74350.31</c:v>
                </c:pt>
                <c:pt idx="29">
                  <c:v>75841.27000000001</c:v>
                </c:pt>
                <c:pt idx="30">
                  <c:v>77478.05</c:v>
                </c:pt>
                <c:pt idx="31">
                  <c:v>88217.46999999999</c:v>
                </c:pt>
                <c:pt idx="32">
                  <c:v>98049.35</c:v>
                </c:pt>
                <c:pt idx="33">
                  <c:v>88553.62</c:v>
                </c:pt>
                <c:pt idx="34">
                  <c:v>89405.53000000001</c:v>
                </c:pt>
                <c:pt idx="35">
                  <c:v>69731.01</c:v>
                </c:pt>
                <c:pt idx="36">
                  <c:v>69015.95</c:v>
                </c:pt>
                <c:pt idx="37">
                  <c:v>75370.16</c:v>
                </c:pt>
                <c:pt idx="38">
                  <c:v>76112.07</c:v>
                </c:pt>
                <c:pt idx="39">
                  <c:v>74223.68</c:v>
                </c:pt>
                <c:pt idx="40">
                  <c:v>69143.56</c:v>
                </c:pt>
                <c:pt idx="41">
                  <c:v>80695.48000000001</c:v>
                </c:pt>
                <c:pt idx="42">
                  <c:v>81365.10999999998</c:v>
                </c:pt>
                <c:pt idx="43">
                  <c:v>78765.7</c:v>
                </c:pt>
                <c:pt idx="44">
                  <c:v>77427.48</c:v>
                </c:pt>
                <c:pt idx="45">
                  <c:v>77441.92000000001</c:v>
                </c:pt>
                <c:pt idx="46">
                  <c:v>82560.65</c:v>
                </c:pt>
                <c:pt idx="47">
                  <c:v>81238.08</c:v>
                </c:pt>
                <c:pt idx="48">
                  <c:v>99666.05</c:v>
                </c:pt>
                <c:pt idx="49">
                  <c:v>81528.14</c:v>
                </c:pt>
                <c:pt idx="50">
                  <c:v>77324.22999999998</c:v>
                </c:pt>
                <c:pt idx="51">
                  <c:v>71534.46</c:v>
                </c:pt>
                <c:pt idx="52">
                  <c:v>69265.13</c:v>
                </c:pt>
                <c:pt idx="53">
                  <c:v>67133.13</c:v>
                </c:pt>
                <c:pt idx="54">
                  <c:v>73709.53000000001</c:v>
                </c:pt>
                <c:pt idx="55">
                  <c:v>75978.98000000001</c:v>
                </c:pt>
                <c:pt idx="56">
                  <c:v>73265.24000000001</c:v>
                </c:pt>
                <c:pt idx="57">
                  <c:v>73115.17</c:v>
                </c:pt>
                <c:pt idx="58">
                  <c:v>75078.81</c:v>
                </c:pt>
                <c:pt idx="59">
                  <c:v>78361.3</c:v>
                </c:pt>
                <c:pt idx="60">
                  <c:v>81738.4</c:v>
                </c:pt>
                <c:pt idx="61">
                  <c:v>68376.29</c:v>
                </c:pt>
                <c:pt idx="62">
                  <c:v>76139.54000000001</c:v>
                </c:pt>
                <c:pt idx="63">
                  <c:v>79002.08</c:v>
                </c:pt>
                <c:pt idx="64">
                  <c:v>82962.91</c:v>
                </c:pt>
                <c:pt idx="65">
                  <c:v>77224.16</c:v>
                </c:pt>
                <c:pt idx="66">
                  <c:v>80844.11</c:v>
                </c:pt>
                <c:pt idx="67">
                  <c:v>88856.66</c:v>
                </c:pt>
                <c:pt idx="68">
                  <c:v>84070.71000000001</c:v>
                </c:pt>
                <c:pt idx="69">
                  <c:v>80449.3</c:v>
                </c:pt>
                <c:pt idx="70">
                  <c:v>78802.92000000001</c:v>
                </c:pt>
                <c:pt idx="71">
                  <c:v>74381.28000000001</c:v>
                </c:pt>
                <c:pt idx="72">
                  <c:v>66808.43</c:v>
                </c:pt>
                <c:pt idx="73">
                  <c:v>72012.93</c:v>
                </c:pt>
                <c:pt idx="74">
                  <c:v>69941.22</c:v>
                </c:pt>
                <c:pt idx="75">
                  <c:v>76733.7</c:v>
                </c:pt>
                <c:pt idx="76">
                  <c:v>80913.46</c:v>
                </c:pt>
                <c:pt idx="77">
                  <c:v>81735.41</c:v>
                </c:pt>
                <c:pt idx="78">
                  <c:v>77246.76000000001</c:v>
                </c:pt>
                <c:pt idx="79">
                  <c:v>75215.57</c:v>
                </c:pt>
                <c:pt idx="80">
                  <c:v>84181.42</c:v>
                </c:pt>
                <c:pt idx="81">
                  <c:v>81655.14</c:v>
                </c:pt>
                <c:pt idx="82">
                  <c:v>77931.48</c:v>
                </c:pt>
                <c:pt idx="83">
                  <c:v>85604.29000000001</c:v>
                </c:pt>
                <c:pt idx="84">
                  <c:v>101286.05</c:v>
                </c:pt>
                <c:pt idx="85">
                  <c:v>91666.95000000001</c:v>
                </c:pt>
                <c:pt idx="86">
                  <c:v>92567.81</c:v>
                </c:pt>
                <c:pt idx="87">
                  <c:v>70763.28</c:v>
                </c:pt>
                <c:pt idx="88">
                  <c:v>74826.00000000001</c:v>
                </c:pt>
                <c:pt idx="89">
                  <c:v>82567.64</c:v>
                </c:pt>
                <c:pt idx="90">
                  <c:v>85169.99000000001</c:v>
                </c:pt>
                <c:pt idx="91">
                  <c:v>85749.18</c:v>
                </c:pt>
                <c:pt idx="92">
                  <c:v>80152.07</c:v>
                </c:pt>
                <c:pt idx="93">
                  <c:v>81829.62</c:v>
                </c:pt>
                <c:pt idx="94">
                  <c:v>84077.26</c:v>
                </c:pt>
                <c:pt idx="95">
                  <c:v>83223.20000000001</c:v>
                </c:pt>
                <c:pt idx="96">
                  <c:v>81398.66</c:v>
                </c:pt>
              </c:numCache>
              <c:extLst>
                <c:ext xmlns:c15="http://schemas.microsoft.com/office/drawing/2012/chart" uri="{02D57815-91ED-43cb-92C2-25804820EDAC}">
                  <c15:fullRef>
                    <c15:sqref>'Mass Merch Data'!$F$4:$F$103</c15:sqref>
                  </c15:fullRef>
                </c:ext>
              </c:extLst>
            </c:numRef>
          </c:val>
        </c:ser>
        <c:ser>
          <c:idx val="1"/>
          <c:order val="1"/>
          <c:tx>
            <c:strRef>
              <c:f>'Mass Merch Data'!$L$3</c:f>
              <c:strCache>
                <c:ptCount val="1"/>
                <c:pt idx="0">
                  <c:v>New Net Blue/Red</c:v>
                </c:pt>
              </c:strCache>
            </c:strRef>
          </c:tx>
          <c:spPr>
            <a:solidFill>
              <a:srgbClr val="4472C4">
                <a:lumMod val="40000"/>
                <a:lumOff val="60000"/>
              </a:srgbClr>
            </a:solidFill>
            <a:ln>
              <a:noFill/>
            </a:ln>
            <a:effectLst/>
          </c:spP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Data'!$L$7:$L$103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-0.3</c:v>
                </c:pt>
                <c:pt idx="70">
                  <c:v>0.0</c:v>
                </c:pt>
                <c:pt idx="71">
                  <c:v>7518.01</c:v>
                </c:pt>
                <c:pt idx="72">
                  <c:v>25433.07</c:v>
                </c:pt>
                <c:pt idx="73">
                  <c:v>16941.57</c:v>
                </c:pt>
                <c:pt idx="74">
                  <c:v>12454.49</c:v>
                </c:pt>
                <c:pt idx="75">
                  <c:v>12916.58</c:v>
                </c:pt>
                <c:pt idx="76">
                  <c:v>13145.71</c:v>
                </c:pt>
                <c:pt idx="77">
                  <c:v>12970.83</c:v>
                </c:pt>
                <c:pt idx="78">
                  <c:v>12396.23</c:v>
                </c:pt>
                <c:pt idx="79">
                  <c:v>11755.1</c:v>
                </c:pt>
                <c:pt idx="80">
                  <c:v>12763.79</c:v>
                </c:pt>
                <c:pt idx="81">
                  <c:v>12304.85</c:v>
                </c:pt>
                <c:pt idx="82">
                  <c:v>11633.45</c:v>
                </c:pt>
                <c:pt idx="83">
                  <c:v>11094.02</c:v>
                </c:pt>
                <c:pt idx="84">
                  <c:v>12487.47</c:v>
                </c:pt>
                <c:pt idx="85">
                  <c:v>12570.98</c:v>
                </c:pt>
                <c:pt idx="86">
                  <c:v>13085.76</c:v>
                </c:pt>
                <c:pt idx="87">
                  <c:v>10939.73</c:v>
                </c:pt>
                <c:pt idx="88">
                  <c:v>11436.82</c:v>
                </c:pt>
                <c:pt idx="89">
                  <c:v>12270.03</c:v>
                </c:pt>
                <c:pt idx="90">
                  <c:v>12711.91</c:v>
                </c:pt>
                <c:pt idx="91">
                  <c:v>13019.75</c:v>
                </c:pt>
                <c:pt idx="92">
                  <c:v>12332.14</c:v>
                </c:pt>
                <c:pt idx="93">
                  <c:v>12171.68</c:v>
                </c:pt>
                <c:pt idx="94">
                  <c:v>13056.05</c:v>
                </c:pt>
                <c:pt idx="95">
                  <c:v>13247.87</c:v>
                </c:pt>
                <c:pt idx="96">
                  <c:v>12733.93</c:v>
                </c:pt>
              </c:numCache>
              <c:extLst>
                <c:ext xmlns:c15="http://schemas.microsoft.com/office/drawing/2012/chart" uri="{02D57815-91ED-43cb-92C2-25804820EDAC}">
                  <c15:fullRef>
                    <c15:sqref>'Mass Merch Data'!$L$4:$L$103</c15:sqref>
                  </c15:fullRef>
                </c:ext>
              </c:extLst>
            </c:numRef>
          </c:val>
        </c:ser>
        <c:ser>
          <c:idx val="2"/>
          <c:order val="2"/>
          <c:tx>
            <c:strRef>
              <c:f>'Mass Merch Data'!$N$3</c:f>
              <c:strCache>
                <c:ptCount val="1"/>
                <c:pt idx="0">
                  <c:v>New Flavors</c:v>
                </c:pt>
              </c:strCache>
            </c:strRef>
          </c:tx>
          <c:spPr>
            <a:solidFill>
              <a:srgbClr val="FFC000">
                <a:lumMod val="40000"/>
                <a:lumOff val="60000"/>
              </a:srgbClr>
            </a:solidFill>
            <a:ln>
              <a:noFill/>
            </a:ln>
            <a:effectLst/>
          </c:spP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Data'!$N$7:$N$103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838.9</c:v>
                </c:pt>
                <c:pt idx="72">
                  <c:v>44994.43</c:v>
                </c:pt>
                <c:pt idx="73">
                  <c:v>27337.53</c:v>
                </c:pt>
                <c:pt idx="74">
                  <c:v>17711.44</c:v>
                </c:pt>
                <c:pt idx="75">
                  <c:v>15758.66</c:v>
                </c:pt>
                <c:pt idx="76">
                  <c:v>15171.42</c:v>
                </c:pt>
                <c:pt idx="77">
                  <c:v>13875.74</c:v>
                </c:pt>
                <c:pt idx="78">
                  <c:v>12816.14</c:v>
                </c:pt>
                <c:pt idx="79">
                  <c:v>11396.32</c:v>
                </c:pt>
                <c:pt idx="80">
                  <c:v>11822.74</c:v>
                </c:pt>
                <c:pt idx="81">
                  <c:v>11122.0</c:v>
                </c:pt>
                <c:pt idx="82">
                  <c:v>9901.17</c:v>
                </c:pt>
                <c:pt idx="83">
                  <c:v>9720.379999999999</c:v>
                </c:pt>
                <c:pt idx="84">
                  <c:v>10843.1</c:v>
                </c:pt>
                <c:pt idx="85">
                  <c:v>10881.55</c:v>
                </c:pt>
                <c:pt idx="86">
                  <c:v>11545.29</c:v>
                </c:pt>
                <c:pt idx="87">
                  <c:v>9023.43</c:v>
                </c:pt>
                <c:pt idx="88">
                  <c:v>9668.07</c:v>
                </c:pt>
                <c:pt idx="89">
                  <c:v>10100.43</c:v>
                </c:pt>
                <c:pt idx="90">
                  <c:v>10499.51</c:v>
                </c:pt>
                <c:pt idx="91">
                  <c:v>10621.65</c:v>
                </c:pt>
                <c:pt idx="92">
                  <c:v>10081.74</c:v>
                </c:pt>
                <c:pt idx="93">
                  <c:v>9708.75</c:v>
                </c:pt>
                <c:pt idx="94">
                  <c:v>10234.65</c:v>
                </c:pt>
                <c:pt idx="95">
                  <c:v>10521.39</c:v>
                </c:pt>
                <c:pt idx="96">
                  <c:v>9685.450000000001</c:v>
                </c:pt>
              </c:numCache>
              <c:extLst>
                <c:ext xmlns:c15="http://schemas.microsoft.com/office/drawing/2012/chart" uri="{02D57815-91ED-43cb-92C2-25804820EDAC}">
                  <c15:fullRef>
                    <c15:sqref>'Mass Merch Data'!$N$4:$N$103</c15:sqref>
                  </c15:fullRef>
                </c:ext>
              </c:extLst>
            </c:numRef>
          </c:val>
        </c:ser>
        <c:ser>
          <c:idx val="4"/>
          <c:order val="4"/>
          <c:tx>
            <c:strRef>
              <c:f>'Mass Merch Data'!$U$3</c:f>
              <c:strCache>
                <c:ptCount val="1"/>
                <c:pt idx="0">
                  <c:v>Other Brands</c:v>
                </c:pt>
              </c:strCache>
            </c:strRef>
          </c:tx>
          <c:spPr>
            <a:solidFill>
              <a:sysClr val="window" lastClr="FFFFFF">
                <a:lumMod val="95000"/>
              </a:sysClr>
            </a:solidFill>
            <a:ln>
              <a:noFill/>
            </a:ln>
            <a:effectLst/>
          </c:spP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Data'!$U$7:$U$103</c:f>
              <c:numCache>
                <c:formatCode>General</c:formatCode>
                <c:ptCount val="97"/>
                <c:pt idx="0">
                  <c:v>35628.97999999998</c:v>
                </c:pt>
                <c:pt idx="1">
                  <c:v>32691.4</c:v>
                </c:pt>
                <c:pt idx="2">
                  <c:v>35910.64000000001</c:v>
                </c:pt>
                <c:pt idx="3">
                  <c:v>39001.65999999998</c:v>
                </c:pt>
                <c:pt idx="4">
                  <c:v>35006.63000000001</c:v>
                </c:pt>
                <c:pt idx="5">
                  <c:v>34590.31</c:v>
                </c:pt>
                <c:pt idx="6">
                  <c:v>33710.12</c:v>
                </c:pt>
                <c:pt idx="7">
                  <c:v>36906.79000000001</c:v>
                </c:pt>
                <c:pt idx="8">
                  <c:v>37886.2</c:v>
                </c:pt>
                <c:pt idx="9">
                  <c:v>31936.15999999999</c:v>
                </c:pt>
                <c:pt idx="10">
                  <c:v>36018.48000000002</c:v>
                </c:pt>
                <c:pt idx="11">
                  <c:v>35482.28999999997</c:v>
                </c:pt>
                <c:pt idx="12">
                  <c:v>40105.32000000002</c:v>
                </c:pt>
                <c:pt idx="13">
                  <c:v>41520.92</c:v>
                </c:pt>
                <c:pt idx="14">
                  <c:v>33216.13</c:v>
                </c:pt>
                <c:pt idx="15">
                  <c:v>36148.61999999998</c:v>
                </c:pt>
                <c:pt idx="16">
                  <c:v>36514.51999999998</c:v>
                </c:pt>
                <c:pt idx="17">
                  <c:v>38218.75</c:v>
                </c:pt>
                <c:pt idx="18">
                  <c:v>37991.98</c:v>
                </c:pt>
                <c:pt idx="19">
                  <c:v>33949.77999999996</c:v>
                </c:pt>
                <c:pt idx="20">
                  <c:v>35372.38999999998</c:v>
                </c:pt>
                <c:pt idx="21">
                  <c:v>36545.72000000002</c:v>
                </c:pt>
                <c:pt idx="22">
                  <c:v>35875.32</c:v>
                </c:pt>
                <c:pt idx="23">
                  <c:v>36464.52999999998</c:v>
                </c:pt>
                <c:pt idx="24">
                  <c:v>38869.46</c:v>
                </c:pt>
                <c:pt idx="25">
                  <c:v>37914.6</c:v>
                </c:pt>
                <c:pt idx="26">
                  <c:v>37191.29</c:v>
                </c:pt>
                <c:pt idx="27">
                  <c:v>33616.06999999996</c:v>
                </c:pt>
                <c:pt idx="28">
                  <c:v>36620.11</c:v>
                </c:pt>
                <c:pt idx="29">
                  <c:v>37309.85</c:v>
                </c:pt>
                <c:pt idx="30">
                  <c:v>39326.62</c:v>
                </c:pt>
                <c:pt idx="31">
                  <c:v>40617.96999999998</c:v>
                </c:pt>
                <c:pt idx="32">
                  <c:v>43668.26</c:v>
                </c:pt>
                <c:pt idx="33">
                  <c:v>40986.89000000001</c:v>
                </c:pt>
                <c:pt idx="34">
                  <c:v>45878.19000000002</c:v>
                </c:pt>
                <c:pt idx="35">
                  <c:v>35835.18</c:v>
                </c:pt>
                <c:pt idx="36">
                  <c:v>37302.66</c:v>
                </c:pt>
                <c:pt idx="37">
                  <c:v>39015.63</c:v>
                </c:pt>
                <c:pt idx="38">
                  <c:v>40271.05000000003</c:v>
                </c:pt>
                <c:pt idx="39">
                  <c:v>39370.97999999998</c:v>
                </c:pt>
                <c:pt idx="40">
                  <c:v>37314.85</c:v>
                </c:pt>
                <c:pt idx="41">
                  <c:v>41779.41</c:v>
                </c:pt>
                <c:pt idx="42">
                  <c:v>40964.44000000002</c:v>
                </c:pt>
                <c:pt idx="43">
                  <c:v>41410.31</c:v>
                </c:pt>
                <c:pt idx="44">
                  <c:v>41883.06</c:v>
                </c:pt>
                <c:pt idx="45">
                  <c:v>40888.22</c:v>
                </c:pt>
                <c:pt idx="46">
                  <c:v>41408.94</c:v>
                </c:pt>
                <c:pt idx="47">
                  <c:v>41782.87999999997</c:v>
                </c:pt>
                <c:pt idx="48">
                  <c:v>52015.52</c:v>
                </c:pt>
                <c:pt idx="49">
                  <c:v>42739.97000000002</c:v>
                </c:pt>
                <c:pt idx="50">
                  <c:v>38555.90000000002</c:v>
                </c:pt>
                <c:pt idx="51">
                  <c:v>35673.14000000001</c:v>
                </c:pt>
                <c:pt idx="52">
                  <c:v>34980.01999999998</c:v>
                </c:pt>
                <c:pt idx="53">
                  <c:v>34756.04000000001</c:v>
                </c:pt>
                <c:pt idx="54">
                  <c:v>36287.96000000001</c:v>
                </c:pt>
                <c:pt idx="55">
                  <c:v>37636.58999999998</c:v>
                </c:pt>
                <c:pt idx="56">
                  <c:v>37635.54000000001</c:v>
                </c:pt>
                <c:pt idx="57">
                  <c:v>38279.37999999997</c:v>
                </c:pt>
                <c:pt idx="58">
                  <c:v>37255.96000000002</c:v>
                </c:pt>
                <c:pt idx="59">
                  <c:v>38441.08</c:v>
                </c:pt>
                <c:pt idx="60">
                  <c:v>41732.27</c:v>
                </c:pt>
                <c:pt idx="61">
                  <c:v>32488.56000000001</c:v>
                </c:pt>
                <c:pt idx="62">
                  <c:v>35411.87</c:v>
                </c:pt>
                <c:pt idx="63">
                  <c:v>36319.54999999998</c:v>
                </c:pt>
                <c:pt idx="64">
                  <c:v>37779.36</c:v>
                </c:pt>
                <c:pt idx="65">
                  <c:v>34546.23000000001</c:v>
                </c:pt>
                <c:pt idx="66">
                  <c:v>36237.07000000001</c:v>
                </c:pt>
                <c:pt idx="67">
                  <c:v>40780.82999999995</c:v>
                </c:pt>
                <c:pt idx="68">
                  <c:v>37463.13</c:v>
                </c:pt>
                <c:pt idx="69">
                  <c:v>35587.83000000002</c:v>
                </c:pt>
                <c:pt idx="70">
                  <c:v>35715.21999999998</c:v>
                </c:pt>
                <c:pt idx="71">
                  <c:v>24966.39999999998</c:v>
                </c:pt>
                <c:pt idx="72">
                  <c:v>22978.55000000002</c:v>
                </c:pt>
                <c:pt idx="73">
                  <c:v>22714.08000000002</c:v>
                </c:pt>
                <c:pt idx="74">
                  <c:v>22356.59999999999</c:v>
                </c:pt>
                <c:pt idx="75">
                  <c:v>25009.72000000003</c:v>
                </c:pt>
                <c:pt idx="76">
                  <c:v>25186.63000000002</c:v>
                </c:pt>
                <c:pt idx="77">
                  <c:v>25227.29999999999</c:v>
                </c:pt>
                <c:pt idx="78">
                  <c:v>24798.87000000001</c:v>
                </c:pt>
                <c:pt idx="79">
                  <c:v>24624.14000000001</c:v>
                </c:pt>
                <c:pt idx="80">
                  <c:v>26639.39000000003</c:v>
                </c:pt>
                <c:pt idx="81">
                  <c:v>25903.97</c:v>
                </c:pt>
                <c:pt idx="82">
                  <c:v>25264.05999999997</c:v>
                </c:pt>
                <c:pt idx="83">
                  <c:v>27776.35999999994</c:v>
                </c:pt>
                <c:pt idx="84">
                  <c:v>31906.27000000002</c:v>
                </c:pt>
                <c:pt idx="85">
                  <c:v>29503.01000000004</c:v>
                </c:pt>
                <c:pt idx="86">
                  <c:v>30404.09</c:v>
                </c:pt>
                <c:pt idx="87">
                  <c:v>23514.83999999998</c:v>
                </c:pt>
                <c:pt idx="88">
                  <c:v>25722.71000000001</c:v>
                </c:pt>
                <c:pt idx="89">
                  <c:v>27221.20000000001</c:v>
                </c:pt>
                <c:pt idx="90">
                  <c:v>28148.03</c:v>
                </c:pt>
                <c:pt idx="91">
                  <c:v>28288.24000000003</c:v>
                </c:pt>
                <c:pt idx="92">
                  <c:v>27747.82999999999</c:v>
                </c:pt>
                <c:pt idx="93">
                  <c:v>27527.14999999999</c:v>
                </c:pt>
                <c:pt idx="94">
                  <c:v>27849.52000000002</c:v>
                </c:pt>
                <c:pt idx="95">
                  <c:v>28892.62000000001</c:v>
                </c:pt>
                <c:pt idx="96">
                  <c:v>28515.37999999999</c:v>
                </c:pt>
              </c:numCache>
              <c:extLst>
                <c:ext xmlns:c15="http://schemas.microsoft.com/office/drawing/2012/chart" uri="{02D57815-91ED-43cb-92C2-25804820EDAC}">
                  <c15:fullRef>
                    <c15:sqref>'Mass Merch Data'!$U$4:$U$103</c15:sqref>
                  </c15:fullRef>
                </c:ext>
              </c:extLst>
            </c:numRef>
          </c:val>
        </c:ser>
        <c:dLbls>
          <c:showLegendKey val="0"/>
          <c:showVal val="0"/>
          <c:showCatName val="0"/>
          <c:showSerName val="0"/>
          <c:showPercent val="0"/>
          <c:showBubbleSize val="0"/>
        </c:dLbls>
        <c:axId val="2119522648"/>
        <c:axId val="2119526536"/>
      </c:areaChart>
      <c:lineChart>
        <c:grouping val="standard"/>
        <c:varyColors val="0"/>
        <c:ser>
          <c:idx val="3"/>
          <c:order val="3"/>
          <c:tx>
            <c:strRef>
              <c:f>'Mass Merch Data'!$S$3</c:f>
              <c:strCache>
                <c:ptCount val="1"/>
                <c:pt idx="0">
                  <c:v>Expected Core Volume</c:v>
                </c:pt>
              </c:strCache>
            </c:strRef>
          </c:tx>
          <c:spPr>
            <a:ln w="28575" cap="rnd" cmpd="sng" algn="ctr">
              <a:solidFill>
                <a:srgbClr val="44546A">
                  <a:lumMod val="100000"/>
                </a:srgbClr>
              </a:solidFill>
              <a:prstDash val="solid"/>
              <a:round/>
              <a:headEnd type="none" w="med" len="med"/>
              <a:tailEnd type="none" w="med" len="med"/>
            </a:ln>
            <a:effectLst/>
          </c:spPr>
          <c:marker>
            <c:symbol val="none"/>
          </c:marke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Data'!$S$7:$S$103</c:f>
              <c:numCache>
                <c:formatCode>General</c:formatCode>
                <c:ptCount val="97"/>
                <c:pt idx="0">
                  <c:v>64886.66571298319</c:v>
                </c:pt>
                <c:pt idx="1">
                  <c:v>58154.6596730904</c:v>
                </c:pt>
                <c:pt idx="2">
                  <c:v>64833.89517672341</c:v>
                </c:pt>
                <c:pt idx="3">
                  <c:v>72130.95834859359</c:v>
                </c:pt>
                <c:pt idx="4">
                  <c:v>63694.89534660001</c:v>
                </c:pt>
                <c:pt idx="5">
                  <c:v>61770.5546398452</c:v>
                </c:pt>
                <c:pt idx="6">
                  <c:v>63611.954020727</c:v>
                </c:pt>
                <c:pt idx="7">
                  <c:v>68840.3397874896</c:v>
                </c:pt>
                <c:pt idx="8">
                  <c:v>69803.801070024</c:v>
                </c:pt>
                <c:pt idx="9">
                  <c:v>59754.65728318199</c:v>
                </c:pt>
                <c:pt idx="10">
                  <c:v>67081.93093690441</c:v>
                </c:pt>
                <c:pt idx="11">
                  <c:v>67739.42700548479</c:v>
                </c:pt>
                <c:pt idx="12">
                  <c:v>74525.23528431721</c:v>
                </c:pt>
                <c:pt idx="13">
                  <c:v>75650.3079036984</c:v>
                </c:pt>
                <c:pt idx="14">
                  <c:v>63890.268699929</c:v>
                </c:pt>
                <c:pt idx="15">
                  <c:v>69298.76551124798</c:v>
                </c:pt>
                <c:pt idx="16">
                  <c:v>67623.6628038816</c:v>
                </c:pt>
                <c:pt idx="17">
                  <c:v>69192.73135016</c:v>
                </c:pt>
                <c:pt idx="18">
                  <c:v>67079.3247169496</c:v>
                </c:pt>
                <c:pt idx="19">
                  <c:v>62781.62984138398</c:v>
                </c:pt>
                <c:pt idx="20">
                  <c:v>69047.6017011742</c:v>
                </c:pt>
                <c:pt idx="21">
                  <c:v>75246.48035388441</c:v>
                </c:pt>
                <c:pt idx="22">
                  <c:v>71419.7804541858</c:v>
                </c:pt>
                <c:pt idx="23">
                  <c:v>73736.9103564032</c:v>
                </c:pt>
                <c:pt idx="24">
                  <c:v>77941.09509798</c:v>
                </c:pt>
                <c:pt idx="25">
                  <c:v>75919.574916918</c:v>
                </c:pt>
                <c:pt idx="26">
                  <c:v>72961.6872104774</c:v>
                </c:pt>
                <c:pt idx="27">
                  <c:v>67263.22055905277</c:v>
                </c:pt>
                <c:pt idx="28">
                  <c:v>73195.0481294604</c:v>
                </c:pt>
                <c:pt idx="29">
                  <c:v>74688.044492208</c:v>
                </c:pt>
                <c:pt idx="30">
                  <c:v>77156.0466213606</c:v>
                </c:pt>
                <c:pt idx="31">
                  <c:v>85165.24526874237</c:v>
                </c:pt>
                <c:pt idx="32">
                  <c:v>93749.27995584138</c:v>
                </c:pt>
                <c:pt idx="33">
                  <c:v>85756.4031431052</c:v>
                </c:pt>
                <c:pt idx="34">
                  <c:v>89623.74639675602</c:v>
                </c:pt>
                <c:pt idx="35">
                  <c:v>69987.2254295952</c:v>
                </c:pt>
                <c:pt idx="36">
                  <c:v>70537.38587572461</c:v>
                </c:pt>
                <c:pt idx="37">
                  <c:v>75944.80269055561</c:v>
                </c:pt>
                <c:pt idx="38">
                  <c:v>77327.0887050704</c:v>
                </c:pt>
                <c:pt idx="39">
                  <c:v>75529.225747592</c:v>
                </c:pt>
                <c:pt idx="40">
                  <c:v>70835.7205502718</c:v>
                </c:pt>
                <c:pt idx="41">
                  <c:v>81551.9581856564</c:v>
                </c:pt>
                <c:pt idx="42">
                  <c:v>81514.239370907</c:v>
                </c:pt>
                <c:pt idx="43">
                  <c:v>80137.2475566432</c:v>
                </c:pt>
                <c:pt idx="44">
                  <c:v>79617.72493115401</c:v>
                </c:pt>
                <c:pt idx="45">
                  <c:v>79020.61663210321</c:v>
                </c:pt>
                <c:pt idx="46">
                  <c:v>82846.47942512941</c:v>
                </c:pt>
                <c:pt idx="47">
                  <c:v>82271.92040170239</c:v>
                </c:pt>
                <c:pt idx="48">
                  <c:v>101512.3173661654</c:v>
                </c:pt>
                <c:pt idx="49">
                  <c:v>83225.95704219001</c:v>
                </c:pt>
                <c:pt idx="50">
                  <c:v>77664.2281939314</c:v>
                </c:pt>
                <c:pt idx="51">
                  <c:v>71903.554110656</c:v>
                </c:pt>
                <c:pt idx="52">
                  <c:v>69966.98248490099</c:v>
                </c:pt>
                <c:pt idx="53">
                  <c:v>68434.8921489004</c:v>
                </c:pt>
                <c:pt idx="54">
                  <c:v>73934.03192132101</c:v>
                </c:pt>
                <c:pt idx="55">
                  <c:v>76420.7500298376</c:v>
                </c:pt>
                <c:pt idx="56">
                  <c:v>74648.25323859881</c:v>
                </c:pt>
                <c:pt idx="57">
                  <c:v>75034.39306374198</c:v>
                </c:pt>
                <c:pt idx="58">
                  <c:v>75721.9499996754</c:v>
                </c:pt>
                <c:pt idx="59">
                  <c:v>78789.839685184</c:v>
                </c:pt>
                <c:pt idx="60">
                  <c:v>83347.5892191186</c:v>
                </c:pt>
                <c:pt idx="61">
                  <c:v>68136.461513046</c:v>
                </c:pt>
                <c:pt idx="62">
                  <c:v>75409.3265342474</c:v>
                </c:pt>
                <c:pt idx="63">
                  <c:v>78013.68960970959</c:v>
                </c:pt>
                <c:pt idx="64">
                  <c:v>81738.979041489</c:v>
                </c:pt>
                <c:pt idx="65">
                  <c:v>75719.2396664572</c:v>
                </c:pt>
                <c:pt idx="66">
                  <c:v>79373.5772855868</c:v>
                </c:pt>
                <c:pt idx="67">
                  <c:v>87948.54151380957</c:v>
                </c:pt>
                <c:pt idx="68">
                  <c:v>82509.5451675888</c:v>
                </c:pt>
                <c:pt idx="69">
                  <c:v>78833.635334818</c:v>
                </c:pt>
                <c:pt idx="70">
                  <c:v>77857.14780427321</c:v>
                </c:pt>
                <c:pt idx="71">
                  <c:v>73276.83503923438</c:v>
                </c:pt>
                <c:pt idx="72">
                  <c:v>109079.2954489712</c:v>
                </c:pt>
                <c:pt idx="73">
                  <c:v>94707.0479190492</c:v>
                </c:pt>
                <c:pt idx="74">
                  <c:v>83495.601054375</c:v>
                </c:pt>
                <c:pt idx="75">
                  <c:v>88982.21028068483</c:v>
                </c:pt>
                <c:pt idx="76">
                  <c:v>91775.24686111321</c:v>
                </c:pt>
                <c:pt idx="77">
                  <c:v>91424.7677226752</c:v>
                </c:pt>
                <c:pt idx="78">
                  <c:v>87010.06398196002</c:v>
                </c:pt>
                <c:pt idx="79">
                  <c:v>84152.05623601201</c:v>
                </c:pt>
                <c:pt idx="80">
                  <c:v>92712.75303462121</c:v>
                </c:pt>
                <c:pt idx="81">
                  <c:v>89748.6928614416</c:v>
                </c:pt>
                <c:pt idx="82">
                  <c:v>85522.57380591836</c:v>
                </c:pt>
                <c:pt idx="83">
                  <c:v>92077.06397357598</c:v>
                </c:pt>
                <c:pt idx="84">
                  <c:v>107472.732826007</c:v>
                </c:pt>
                <c:pt idx="85">
                  <c:v>99371.42605120924</c:v>
                </c:pt>
                <c:pt idx="86">
                  <c:v>101490.586931987</c:v>
                </c:pt>
                <c:pt idx="87">
                  <c:v>78606.52760913919</c:v>
                </c:pt>
                <c:pt idx="88">
                  <c:v>83765.48894971202</c:v>
                </c:pt>
                <c:pt idx="89">
                  <c:v>91063.07050386001</c:v>
                </c:pt>
                <c:pt idx="90">
                  <c:v>94140.1863265312</c:v>
                </c:pt>
                <c:pt idx="91">
                  <c:v>94999.17883000323</c:v>
                </c:pt>
                <c:pt idx="92">
                  <c:v>89980.17169408118</c:v>
                </c:pt>
                <c:pt idx="93">
                  <c:v>90681.141317104</c:v>
                </c:pt>
                <c:pt idx="94">
                  <c:v>93496.680937668</c:v>
                </c:pt>
                <c:pt idx="95">
                  <c:v>94023.8982937504</c:v>
                </c:pt>
                <c:pt idx="96">
                  <c:v>91630.26168303718</c:v>
                </c:pt>
              </c:numCache>
              <c:extLst>
                <c:ext xmlns:c15="http://schemas.microsoft.com/office/drawing/2012/chart" uri="{02D57815-91ED-43cb-92C2-25804820EDAC}">
                  <c15:fullRef>
                    <c15:sqref>'Mass Merch Data'!$S$4:$S$103</c15:sqref>
                  </c15:fullRef>
                </c:ext>
              </c:extLst>
            </c:numRef>
          </c:val>
          <c:smooth val="0"/>
        </c:ser>
        <c:dLbls>
          <c:showLegendKey val="0"/>
          <c:showVal val="0"/>
          <c:showCatName val="0"/>
          <c:showSerName val="0"/>
          <c:showPercent val="0"/>
          <c:showBubbleSize val="0"/>
        </c:dLbls>
        <c:marker val="1"/>
        <c:smooth val="0"/>
        <c:axId val="2119522648"/>
        <c:axId val="2119526536"/>
      </c:lineChart>
      <c:dateAx>
        <c:axId val="211952264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526536"/>
        <c:crosses val="autoZero"/>
        <c:auto val="1"/>
        <c:lblOffset val="100"/>
        <c:baseTimeUnit val="days"/>
      </c:dateAx>
      <c:valAx>
        <c:axId val="2119526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Serving Units Cases</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522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Mass Merchandise</a:t>
            </a:r>
            <a:endParaRPr lang="en-US" sz="1400">
              <a:effectLst/>
            </a:endParaRPr>
          </a:p>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Percent of Total with Expected Core Percent of Total</a:t>
            </a:r>
            <a:endParaRPr lang="en-US" sz="1400">
              <a:effectLst/>
            </a:endParaRPr>
          </a:p>
        </c:rich>
      </c:tx>
      <c:layout/>
      <c:overlay val="0"/>
      <c:spPr>
        <a:noFill/>
        <a:ln>
          <a:noFill/>
        </a:ln>
        <a:effectLst/>
      </c:spPr>
    </c:title>
    <c:autoTitleDeleted val="0"/>
    <c:plotArea>
      <c:layout/>
      <c:areaChart>
        <c:grouping val="stacked"/>
        <c:varyColors val="0"/>
        <c:ser>
          <c:idx val="0"/>
          <c:order val="0"/>
          <c:tx>
            <c:strRef>
              <c:f>'Mass Merch Data'!$G$3</c:f>
              <c:strCache>
                <c:ptCount val="1"/>
                <c:pt idx="0">
                  <c:v>Core as Percent of Total</c:v>
                </c:pt>
              </c:strCache>
            </c:strRef>
          </c:tx>
          <c:spPr>
            <a:solidFill>
              <a:schemeClr val="bg1"/>
            </a:solidFill>
            <a:ln>
              <a:solidFill>
                <a:schemeClr val="tx2"/>
              </a:solidFill>
            </a:ln>
            <a:effectLst/>
          </c:spP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Data'!$G$7:$G$103</c:f>
              <c:numCache>
                <c:formatCode>General</c:formatCode>
                <c:ptCount val="97"/>
                <c:pt idx="0">
                  <c:v>0.645244305525187</c:v>
                </c:pt>
                <c:pt idx="1">
                  <c:v>0.636541481748804</c:v>
                </c:pt>
                <c:pt idx="2">
                  <c:v>0.641613991715253</c:v>
                </c:pt>
                <c:pt idx="3">
                  <c:v>0.649881283387224</c:v>
                </c:pt>
                <c:pt idx="4">
                  <c:v>0.643857916047775</c:v>
                </c:pt>
                <c:pt idx="5">
                  <c:v>0.636860063458109</c:v>
                </c:pt>
                <c:pt idx="6">
                  <c:v>0.65608919408753</c:v>
                </c:pt>
                <c:pt idx="7">
                  <c:v>0.651814655321246</c:v>
                </c:pt>
                <c:pt idx="8">
                  <c:v>0.647246027046253</c:v>
                </c:pt>
                <c:pt idx="9">
                  <c:v>0.652381121872918</c:v>
                </c:pt>
                <c:pt idx="10">
                  <c:v>0.650510216457995</c:v>
                </c:pt>
                <c:pt idx="11">
                  <c:v>0.658801759884639</c:v>
                </c:pt>
                <c:pt idx="12">
                  <c:v>0.649202044889534</c:v>
                </c:pt>
                <c:pt idx="13">
                  <c:v>0.64195615232807</c:v>
                </c:pt>
                <c:pt idx="14">
                  <c:v>0.66059709785905</c:v>
                </c:pt>
                <c:pt idx="15">
                  <c:v>0.659208692914098</c:v>
                </c:pt>
                <c:pt idx="16">
                  <c:v>0.646971309503737</c:v>
                </c:pt>
                <c:pt idx="17">
                  <c:v>0.638607050324338</c:v>
                </c:pt>
                <c:pt idx="18">
                  <c:v>0.629159415853541</c:v>
                </c:pt>
                <c:pt idx="19">
                  <c:v>0.645669537057727</c:v>
                </c:pt>
                <c:pt idx="20">
                  <c:v>0.664076964007951</c:v>
                </c:pt>
                <c:pt idx="21">
                  <c:v>0.68129128164601</c:v>
                </c:pt>
                <c:pt idx="22">
                  <c:v>0.670131928581418</c:v>
                </c:pt>
                <c:pt idx="23">
                  <c:v>0.675011604013313</c:v>
                </c:pt>
                <c:pt idx="24">
                  <c:v>0.672023217062387</c:v>
                </c:pt>
                <c:pt idx="25">
                  <c:v>0.671320587390072</c:v>
                </c:pt>
                <c:pt idx="26">
                  <c:v>0.664274271275214</c:v>
                </c:pt>
                <c:pt idx="27">
                  <c:v>0.670598358169058</c:v>
                </c:pt>
                <c:pt idx="28">
                  <c:v>0.670001158867381</c:v>
                </c:pt>
                <c:pt idx="29">
                  <c:v>0.670265305372143</c:v>
                </c:pt>
                <c:pt idx="30">
                  <c:v>0.66331294801826</c:v>
                </c:pt>
                <c:pt idx="31">
                  <c:v>0.68472983831157</c:v>
                </c:pt>
                <c:pt idx="32">
                  <c:v>0.691864264434039</c:v>
                </c:pt>
                <c:pt idx="33">
                  <c:v>0.683597895361073</c:v>
                </c:pt>
                <c:pt idx="34">
                  <c:v>0.6608742722332</c:v>
                </c:pt>
                <c:pt idx="35">
                  <c:v>0.660543020450013</c:v>
                </c:pt>
                <c:pt idx="36">
                  <c:v>0.649142704179447</c:v>
                </c:pt>
                <c:pt idx="37">
                  <c:v>0.658911915544754</c:v>
                </c:pt>
                <c:pt idx="38">
                  <c:v>0.653978601020491</c:v>
                </c:pt>
                <c:pt idx="39">
                  <c:v>0.653408179574638</c:v>
                </c:pt>
                <c:pt idx="40">
                  <c:v>0.649488941268238</c:v>
                </c:pt>
                <c:pt idx="41">
                  <c:v>0.658873667900416</c:v>
                </c:pt>
                <c:pt idx="42">
                  <c:v>0.665130461119165</c:v>
                </c:pt>
                <c:pt idx="43">
                  <c:v>0.655419496786422</c:v>
                </c:pt>
                <c:pt idx="44">
                  <c:v>0.648957585809267</c:v>
                </c:pt>
                <c:pt idx="45">
                  <c:v>0.654456421669069</c:v>
                </c:pt>
                <c:pt idx="46">
                  <c:v>0.66597501855092</c:v>
                </c:pt>
                <c:pt idx="47">
                  <c:v>0.660359665539921</c:v>
                </c:pt>
                <c:pt idx="48">
                  <c:v>0.657074224640475</c:v>
                </c:pt>
                <c:pt idx="49">
                  <c:v>0.656066467897516</c:v>
                </c:pt>
                <c:pt idx="50">
                  <c:v>0.667277729149941</c:v>
                </c:pt>
                <c:pt idx="51">
                  <c:v>0.667251762001947</c:v>
                </c:pt>
                <c:pt idx="52">
                  <c:v>0.664444628838848</c:v>
                </c:pt>
                <c:pt idx="53">
                  <c:v>0.658883863711914</c:v>
                </c:pt>
                <c:pt idx="54">
                  <c:v>0.67010192687124</c:v>
                </c:pt>
                <c:pt idx="55">
                  <c:v>0.668737392242982</c:v>
                </c:pt>
                <c:pt idx="56">
                  <c:v>0.660637734017741</c:v>
                </c:pt>
                <c:pt idx="57">
                  <c:v>0.656362182889558</c:v>
                </c:pt>
                <c:pt idx="58">
                  <c:v>0.668348811325291</c:v>
                </c:pt>
                <c:pt idx="59">
                  <c:v>0.670887870606746</c:v>
                </c:pt>
                <c:pt idx="60">
                  <c:v>0.662006612582567</c:v>
                </c:pt>
                <c:pt idx="61">
                  <c:v>0.67790008114819</c:v>
                </c:pt>
                <c:pt idx="62">
                  <c:v>0.682551121496358</c:v>
                </c:pt>
                <c:pt idx="63">
                  <c:v>0.685058648581363</c:v>
                </c:pt>
                <c:pt idx="64">
                  <c:v>0.687107423108742</c:v>
                </c:pt>
                <c:pt idx="65">
                  <c:v>0.690917871897915</c:v>
                </c:pt>
                <c:pt idx="66">
                  <c:v>0.690496201011982</c:v>
                </c:pt>
                <c:pt idx="67">
                  <c:v>0.685424100698031</c:v>
                </c:pt>
                <c:pt idx="68">
                  <c:v>0.691747335556911</c:v>
                </c:pt>
                <c:pt idx="69">
                  <c:v>0.693308322883346</c:v>
                </c:pt>
                <c:pt idx="70">
                  <c:v>0.688126090766057</c:v>
                </c:pt>
                <c:pt idx="71">
                  <c:v>0.690604550836691</c:v>
                </c:pt>
                <c:pt idx="72">
                  <c:v>0.416993707435183</c:v>
                </c:pt>
                <c:pt idx="73">
                  <c:v>0.518055860997765</c:v>
                </c:pt>
                <c:pt idx="74">
                  <c:v>0.571117738922742</c:v>
                </c:pt>
                <c:pt idx="75">
                  <c:v>0.588364425765454</c:v>
                </c:pt>
                <c:pt idx="76">
                  <c:v>0.601957546808363</c:v>
                </c:pt>
                <c:pt idx="77">
                  <c:v>0.610835137891781</c:v>
                </c:pt>
                <c:pt idx="78">
                  <c:v>0.607009068192176</c:v>
                </c:pt>
                <c:pt idx="79">
                  <c:v>0.611552800596271</c:v>
                </c:pt>
                <c:pt idx="80">
                  <c:v>0.621690227427848</c:v>
                </c:pt>
                <c:pt idx="81">
                  <c:v>0.623388491407781</c:v>
                </c:pt>
                <c:pt idx="82">
                  <c:v>0.624800609571895</c:v>
                </c:pt>
                <c:pt idx="83">
                  <c:v>0.637909445989252</c:v>
                </c:pt>
                <c:pt idx="84">
                  <c:v>0.647100561457816</c:v>
                </c:pt>
                <c:pt idx="85">
                  <c:v>0.633836065192903</c:v>
                </c:pt>
                <c:pt idx="86">
                  <c:v>0.627140649966684</c:v>
                </c:pt>
                <c:pt idx="87">
                  <c:v>0.619419530313386</c:v>
                </c:pt>
                <c:pt idx="88">
                  <c:v>0.61507427647024</c:v>
                </c:pt>
                <c:pt idx="89">
                  <c:v>0.624758454380433</c:v>
                </c:pt>
                <c:pt idx="90">
                  <c:v>0.623821426353173</c:v>
                </c:pt>
                <c:pt idx="91">
                  <c:v>0.622820416386485</c:v>
                </c:pt>
                <c:pt idx="92">
                  <c:v>0.615069795381578</c:v>
                </c:pt>
                <c:pt idx="93">
                  <c:v>0.623524579920937</c:v>
                </c:pt>
                <c:pt idx="94">
                  <c:v>0.621792833293447</c:v>
                </c:pt>
                <c:pt idx="95">
                  <c:v>0.612452816747799</c:v>
                </c:pt>
                <c:pt idx="96">
                  <c:v>0.61510282134324</c:v>
                </c:pt>
              </c:numCache>
              <c:extLst>
                <c:ext xmlns:c15="http://schemas.microsoft.com/office/drawing/2012/chart" uri="{02D57815-91ED-43cb-92C2-25804820EDAC}">
                  <c15:fullRef>
                    <c15:sqref>'Mass Merch Data'!$G$4:$G$103</c15:sqref>
                  </c15:fullRef>
                </c:ext>
              </c:extLst>
            </c:numRef>
          </c:val>
        </c:ser>
        <c:ser>
          <c:idx val="1"/>
          <c:order val="1"/>
          <c:tx>
            <c:strRef>
              <c:f>'Mass Merch Data'!$M$3</c:f>
              <c:strCache>
                <c:ptCount val="1"/>
                <c:pt idx="0">
                  <c:v>New Net Blue/Red as Percent of Total</c:v>
                </c:pt>
              </c:strCache>
            </c:strRef>
          </c:tx>
          <c:spPr>
            <a:solidFill>
              <a:schemeClr val="accent5">
                <a:lumMod val="40000"/>
                <a:lumOff val="60000"/>
              </a:schemeClr>
            </a:solidFill>
            <a:ln>
              <a:noFill/>
            </a:ln>
            <a:effectLst/>
          </c:spP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Data'!$M$7:$M$103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-2.58538603648514E-6</c:v>
                </c:pt>
                <c:pt idx="70">
                  <c:v>0.0</c:v>
                </c:pt>
                <c:pt idx="71">
                  <c:v>0.0698021319239969</c:v>
                </c:pt>
                <c:pt idx="72">
                  <c:v>0.158743891313694</c:v>
                </c:pt>
                <c:pt idx="73">
                  <c:v>0.121876441258589</c:v>
                </c:pt>
                <c:pt idx="74">
                  <c:v>0.101699400843107</c:v>
                </c:pt>
                <c:pt idx="75">
                  <c:v>0.0990393552579055</c:v>
                </c:pt>
                <c:pt idx="76">
                  <c:v>0.0977978119172528</c:v>
                </c:pt>
                <c:pt idx="77">
                  <c:v>0.0969352050919039</c:v>
                </c:pt>
                <c:pt idx="78">
                  <c:v>0.0974102217542315</c:v>
                </c:pt>
                <c:pt idx="79">
                  <c:v>0.0955768111082482</c:v>
                </c:pt>
                <c:pt idx="80">
                  <c:v>0.0942621721983461</c:v>
                </c:pt>
                <c:pt idx="81">
                  <c:v>0.0939402207686992</c:v>
                </c:pt>
                <c:pt idx="82">
                  <c:v>0.0932689415294585</c:v>
                </c:pt>
                <c:pt idx="83">
                  <c:v>0.0826708585748878</c:v>
                </c:pt>
                <c:pt idx="84">
                  <c:v>0.0797804717252537</c:v>
                </c:pt>
                <c:pt idx="85">
                  <c:v>0.086922718589619</c:v>
                </c:pt>
                <c:pt idx="86">
                  <c:v>0.0886551386676215</c:v>
                </c:pt>
                <c:pt idx="87">
                  <c:v>0.0957598689370427</c:v>
                </c:pt>
                <c:pt idx="88">
                  <c:v>0.0940113568361314</c:v>
                </c:pt>
                <c:pt idx="89">
                  <c:v>0.0928427284345483</c:v>
                </c:pt>
                <c:pt idx="90">
                  <c:v>0.0931074645878574</c:v>
                </c:pt>
                <c:pt idx="91">
                  <c:v>0.0945661068274699</c:v>
                </c:pt>
                <c:pt idx="92">
                  <c:v>0.0946341975499444</c:v>
                </c:pt>
                <c:pt idx="93">
                  <c:v>0.0927456544333466</c:v>
                </c:pt>
                <c:pt idx="94">
                  <c:v>0.096555933448841</c:v>
                </c:pt>
                <c:pt idx="95">
                  <c:v>0.0974931905695606</c:v>
                </c:pt>
                <c:pt idx="96">
                  <c:v>0.0962261082650173</c:v>
                </c:pt>
              </c:numCache>
              <c:extLst>
                <c:ext xmlns:c15="http://schemas.microsoft.com/office/drawing/2012/chart" uri="{02D57815-91ED-43cb-92C2-25804820EDAC}">
                  <c15:fullRef>
                    <c15:sqref>'Mass Merch Data'!$M$4:$M$103</c15:sqref>
                  </c15:fullRef>
                </c:ext>
              </c:extLst>
            </c:numRef>
          </c:val>
        </c:ser>
        <c:ser>
          <c:idx val="2"/>
          <c:order val="2"/>
          <c:tx>
            <c:strRef>
              <c:f>'Mass Merch Data'!$O$3</c:f>
              <c:strCache>
                <c:ptCount val="1"/>
                <c:pt idx="0">
                  <c:v>New Flavors as Percent of Total</c:v>
                </c:pt>
              </c:strCache>
            </c:strRef>
          </c:tx>
          <c:spPr>
            <a:solidFill>
              <a:schemeClr val="accent4">
                <a:lumMod val="40000"/>
                <a:lumOff val="60000"/>
              </a:schemeClr>
            </a:solidFill>
            <a:ln>
              <a:noFill/>
            </a:ln>
            <a:effectLst/>
          </c:spP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Data'!$O$7:$O$103</c:f>
              <c:numCache>
                <c:formatCode>General</c:formatCode>
                <c:ptCount val="97"/>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0.00778889739053832</c:v>
                </c:pt>
                <c:pt idx="72">
                  <c:v>0.280838723191562</c:v>
                </c:pt>
                <c:pt idx="73">
                  <c:v>0.196664232960695</c:v>
                </c:pt>
                <c:pt idx="74">
                  <c:v>0.14462598115769</c:v>
                </c:pt>
                <c:pt idx="75">
                  <c:v>0.120831328891126</c:v>
                </c:pt>
                <c:pt idx="76">
                  <c:v>0.112868128056807</c:v>
                </c:pt>
                <c:pt idx="77">
                  <c:v>0.103697890011814</c:v>
                </c:pt>
                <c:pt idx="78">
                  <c:v>0.100709896430873</c:v>
                </c:pt>
                <c:pt idx="79">
                  <c:v>0.0926596901744052</c:v>
                </c:pt>
                <c:pt idx="80">
                  <c:v>0.0873124012331975</c:v>
                </c:pt>
                <c:pt idx="81">
                  <c:v>0.0849098636220248</c:v>
                </c:pt>
                <c:pt idx="82">
                  <c:v>0.0793807207494964</c:v>
                </c:pt>
                <c:pt idx="83">
                  <c:v>0.0724347135009823</c:v>
                </c:pt>
                <c:pt idx="84">
                  <c:v>0.0692748517485206</c:v>
                </c:pt>
                <c:pt idx="85">
                  <c:v>0.07524106382071</c:v>
                </c:pt>
                <c:pt idx="86">
                  <c:v>0.0782185586399188</c:v>
                </c:pt>
                <c:pt idx="87">
                  <c:v>0.0789857221487715</c:v>
                </c:pt>
                <c:pt idx="88">
                  <c:v>0.0794721241294955</c:v>
                </c:pt>
                <c:pt idx="89">
                  <c:v>0.0764261765914317</c:v>
                </c:pt>
                <c:pt idx="90">
                  <c:v>0.0769029009420972</c:v>
                </c:pt>
                <c:pt idx="91">
                  <c:v>0.0771480319195065</c:v>
                </c:pt>
                <c:pt idx="92">
                  <c:v>0.0773651105815517</c:v>
                </c:pt>
                <c:pt idx="93">
                  <c:v>0.0739786432505418</c:v>
                </c:pt>
                <c:pt idx="94">
                  <c:v>0.0756902879716439</c:v>
                </c:pt>
                <c:pt idx="95">
                  <c:v>0.0774285889223452</c:v>
                </c:pt>
                <c:pt idx="96">
                  <c:v>0.0731897505558309</c:v>
                </c:pt>
              </c:numCache>
              <c:extLst>
                <c:ext xmlns:c15="http://schemas.microsoft.com/office/drawing/2012/chart" uri="{02D57815-91ED-43cb-92C2-25804820EDAC}">
                  <c15:fullRef>
                    <c15:sqref>'Mass Merch Data'!$O$4:$O$103</c15:sqref>
                  </c15:fullRef>
                </c:ext>
              </c:extLst>
            </c:numRef>
          </c:val>
        </c:ser>
        <c:dLbls>
          <c:showLegendKey val="0"/>
          <c:showVal val="0"/>
          <c:showCatName val="0"/>
          <c:showSerName val="0"/>
          <c:showPercent val="0"/>
          <c:showBubbleSize val="0"/>
        </c:dLbls>
        <c:axId val="2117356824"/>
        <c:axId val="2117353032"/>
      </c:areaChart>
      <c:lineChart>
        <c:grouping val="standard"/>
        <c:varyColors val="0"/>
        <c:ser>
          <c:idx val="3"/>
          <c:order val="3"/>
          <c:tx>
            <c:strRef>
              <c:f>'Mass Merch Data'!$T$3</c:f>
              <c:strCache>
                <c:ptCount val="1"/>
                <c:pt idx="0">
                  <c:v>Expected Core as Percent of Total</c:v>
                </c:pt>
              </c:strCache>
            </c:strRef>
          </c:tx>
          <c:spPr>
            <a:ln w="28575" cap="rnd">
              <a:solidFill>
                <a:schemeClr val="tx2"/>
              </a:solidFill>
              <a:round/>
            </a:ln>
            <a:effectLst/>
          </c:spPr>
          <c:marker>
            <c:symbol val="none"/>
          </c:marker>
          <c:cat>
            <c:numRef>
              <c:f>'Mass Merch Data'!$D$7:$D$103</c:f>
              <c:numCache>
                <c:formatCode>m/d/yy</c:formatCode>
                <c:ptCount val="97"/>
                <c:pt idx="0">
                  <c:v>41540.0</c:v>
                </c:pt>
                <c:pt idx="1">
                  <c:v>41547.0</c:v>
                </c:pt>
                <c:pt idx="2">
                  <c:v>41554.0</c:v>
                </c:pt>
                <c:pt idx="3">
                  <c:v>41561.0</c:v>
                </c:pt>
                <c:pt idx="4">
                  <c:v>41568.0</c:v>
                </c:pt>
                <c:pt idx="5">
                  <c:v>41575.0</c:v>
                </c:pt>
                <c:pt idx="6">
                  <c:v>41582.0</c:v>
                </c:pt>
                <c:pt idx="7">
                  <c:v>41589.0</c:v>
                </c:pt>
                <c:pt idx="8">
                  <c:v>41596.0</c:v>
                </c:pt>
                <c:pt idx="9">
                  <c:v>41603.0</c:v>
                </c:pt>
                <c:pt idx="10">
                  <c:v>41610.0</c:v>
                </c:pt>
                <c:pt idx="11">
                  <c:v>41617.0</c:v>
                </c:pt>
                <c:pt idx="12">
                  <c:v>41624.0</c:v>
                </c:pt>
                <c:pt idx="13">
                  <c:v>41631.0</c:v>
                </c:pt>
                <c:pt idx="14">
                  <c:v>41638.0</c:v>
                </c:pt>
                <c:pt idx="15">
                  <c:v>41645.0</c:v>
                </c:pt>
                <c:pt idx="16">
                  <c:v>41652.0</c:v>
                </c:pt>
                <c:pt idx="17">
                  <c:v>41659.0</c:v>
                </c:pt>
                <c:pt idx="18">
                  <c:v>41666.0</c:v>
                </c:pt>
                <c:pt idx="19">
                  <c:v>41673.0</c:v>
                </c:pt>
                <c:pt idx="20">
                  <c:v>41680.0</c:v>
                </c:pt>
                <c:pt idx="21">
                  <c:v>41687.0</c:v>
                </c:pt>
                <c:pt idx="22">
                  <c:v>41694.0</c:v>
                </c:pt>
                <c:pt idx="23">
                  <c:v>41701.0</c:v>
                </c:pt>
                <c:pt idx="24">
                  <c:v>41708.0</c:v>
                </c:pt>
                <c:pt idx="25">
                  <c:v>41715.0</c:v>
                </c:pt>
                <c:pt idx="26">
                  <c:v>41722.0</c:v>
                </c:pt>
                <c:pt idx="27">
                  <c:v>41729.0</c:v>
                </c:pt>
                <c:pt idx="28">
                  <c:v>41736.0</c:v>
                </c:pt>
                <c:pt idx="29">
                  <c:v>41743.0</c:v>
                </c:pt>
                <c:pt idx="30">
                  <c:v>41750.0</c:v>
                </c:pt>
                <c:pt idx="31">
                  <c:v>41757.0</c:v>
                </c:pt>
                <c:pt idx="32">
                  <c:v>41764.0</c:v>
                </c:pt>
                <c:pt idx="33">
                  <c:v>41771.0</c:v>
                </c:pt>
                <c:pt idx="34">
                  <c:v>41778.0</c:v>
                </c:pt>
                <c:pt idx="35">
                  <c:v>41785.0</c:v>
                </c:pt>
                <c:pt idx="36">
                  <c:v>41792.0</c:v>
                </c:pt>
                <c:pt idx="37">
                  <c:v>41799.0</c:v>
                </c:pt>
                <c:pt idx="38">
                  <c:v>41806.0</c:v>
                </c:pt>
                <c:pt idx="39">
                  <c:v>41813.0</c:v>
                </c:pt>
                <c:pt idx="40">
                  <c:v>41820.0</c:v>
                </c:pt>
                <c:pt idx="41">
                  <c:v>41827.0</c:v>
                </c:pt>
                <c:pt idx="42">
                  <c:v>41834.0</c:v>
                </c:pt>
                <c:pt idx="43">
                  <c:v>41841.0</c:v>
                </c:pt>
                <c:pt idx="44">
                  <c:v>41848.0</c:v>
                </c:pt>
                <c:pt idx="45">
                  <c:v>41855.0</c:v>
                </c:pt>
                <c:pt idx="46">
                  <c:v>41862.0</c:v>
                </c:pt>
                <c:pt idx="47">
                  <c:v>41869.0</c:v>
                </c:pt>
                <c:pt idx="48">
                  <c:v>41876.0</c:v>
                </c:pt>
                <c:pt idx="49">
                  <c:v>41883.0</c:v>
                </c:pt>
                <c:pt idx="50">
                  <c:v>41890.0</c:v>
                </c:pt>
                <c:pt idx="51">
                  <c:v>41897.0</c:v>
                </c:pt>
                <c:pt idx="52">
                  <c:v>41904.0</c:v>
                </c:pt>
                <c:pt idx="53">
                  <c:v>41911.0</c:v>
                </c:pt>
                <c:pt idx="54">
                  <c:v>41918.0</c:v>
                </c:pt>
                <c:pt idx="55">
                  <c:v>41925.0</c:v>
                </c:pt>
                <c:pt idx="56">
                  <c:v>41932.0</c:v>
                </c:pt>
                <c:pt idx="57">
                  <c:v>41939.0</c:v>
                </c:pt>
                <c:pt idx="58">
                  <c:v>41946.0</c:v>
                </c:pt>
                <c:pt idx="59">
                  <c:v>41953.0</c:v>
                </c:pt>
                <c:pt idx="60">
                  <c:v>41960.0</c:v>
                </c:pt>
                <c:pt idx="61">
                  <c:v>41967.0</c:v>
                </c:pt>
                <c:pt idx="62">
                  <c:v>41974.0</c:v>
                </c:pt>
                <c:pt idx="63">
                  <c:v>41981.0</c:v>
                </c:pt>
                <c:pt idx="64">
                  <c:v>41988.0</c:v>
                </c:pt>
                <c:pt idx="65">
                  <c:v>41995.0</c:v>
                </c:pt>
                <c:pt idx="66">
                  <c:v>42002.0</c:v>
                </c:pt>
                <c:pt idx="67">
                  <c:v>42009.0</c:v>
                </c:pt>
                <c:pt idx="68">
                  <c:v>42016.0</c:v>
                </c:pt>
                <c:pt idx="69">
                  <c:v>42023.0</c:v>
                </c:pt>
                <c:pt idx="70">
                  <c:v>42030.0</c:v>
                </c:pt>
                <c:pt idx="71">
                  <c:v>42037.0</c:v>
                </c:pt>
                <c:pt idx="72">
                  <c:v>42044.0</c:v>
                </c:pt>
                <c:pt idx="73">
                  <c:v>42051.0</c:v>
                </c:pt>
                <c:pt idx="74">
                  <c:v>42058.0</c:v>
                </c:pt>
                <c:pt idx="75">
                  <c:v>42065.0</c:v>
                </c:pt>
                <c:pt idx="76">
                  <c:v>42072.0</c:v>
                </c:pt>
                <c:pt idx="77">
                  <c:v>42079.0</c:v>
                </c:pt>
                <c:pt idx="78">
                  <c:v>42086.0</c:v>
                </c:pt>
                <c:pt idx="79">
                  <c:v>42093.0</c:v>
                </c:pt>
                <c:pt idx="80">
                  <c:v>42100.0</c:v>
                </c:pt>
                <c:pt idx="81">
                  <c:v>42107.0</c:v>
                </c:pt>
                <c:pt idx="82">
                  <c:v>42114.0</c:v>
                </c:pt>
                <c:pt idx="83">
                  <c:v>42121.0</c:v>
                </c:pt>
                <c:pt idx="84">
                  <c:v>42128.0</c:v>
                </c:pt>
                <c:pt idx="85">
                  <c:v>42135.0</c:v>
                </c:pt>
                <c:pt idx="86">
                  <c:v>42142.0</c:v>
                </c:pt>
                <c:pt idx="87">
                  <c:v>42149.0</c:v>
                </c:pt>
                <c:pt idx="88">
                  <c:v>42156.0</c:v>
                </c:pt>
                <c:pt idx="89">
                  <c:v>42163.0</c:v>
                </c:pt>
                <c:pt idx="90">
                  <c:v>42170.0</c:v>
                </c:pt>
                <c:pt idx="91">
                  <c:v>42177.0</c:v>
                </c:pt>
                <c:pt idx="92">
                  <c:v>42184.0</c:v>
                </c:pt>
                <c:pt idx="93">
                  <c:v>42191.0</c:v>
                </c:pt>
                <c:pt idx="94">
                  <c:v>42198.0</c:v>
                </c:pt>
                <c:pt idx="95">
                  <c:v>42205.0</c:v>
                </c:pt>
                <c:pt idx="96">
                  <c:v>42212.0</c:v>
                </c:pt>
              </c:numCache>
              <c:extLst>
                <c:ext xmlns:c15="http://schemas.microsoft.com/office/drawing/2012/chart" uri="{02D57815-91ED-43cb-92C2-25804820EDAC}">
                  <c15:fullRef>
                    <c15:sqref>'Mass Merch Data'!$D$4:$D$103</c15:sqref>
                  </c15:fullRef>
                </c:ext>
              </c:extLst>
            </c:numRef>
          </c:cat>
          <c:val>
            <c:numRef>
              <c:f>'Mass Merch Data'!$T$7:$T$103</c:f>
              <c:numCache>
                <c:formatCode>General</c:formatCode>
                <c:ptCount val="97"/>
                <c:pt idx="0">
                  <c:v>0.64607278</c:v>
                </c:pt>
                <c:pt idx="1">
                  <c:v>0.64655556</c:v>
                </c:pt>
                <c:pt idx="2">
                  <c:v>0.64703834</c:v>
                </c:pt>
                <c:pt idx="3">
                  <c:v>0.64752112</c:v>
                </c:pt>
                <c:pt idx="4">
                  <c:v>0.6480039</c:v>
                </c:pt>
                <c:pt idx="5">
                  <c:v>0.64848668</c:v>
                </c:pt>
                <c:pt idx="6">
                  <c:v>0.64896946</c:v>
                </c:pt>
                <c:pt idx="7">
                  <c:v>0.64945224</c:v>
                </c:pt>
                <c:pt idx="8">
                  <c:v>0.64993502</c:v>
                </c:pt>
                <c:pt idx="9">
                  <c:v>0.6504178</c:v>
                </c:pt>
                <c:pt idx="10">
                  <c:v>0.65090058</c:v>
                </c:pt>
                <c:pt idx="11">
                  <c:v>0.65138336</c:v>
                </c:pt>
                <c:pt idx="12">
                  <c:v>0.65186614</c:v>
                </c:pt>
                <c:pt idx="13">
                  <c:v>0.65234892</c:v>
                </c:pt>
                <c:pt idx="14">
                  <c:v>0.6528317</c:v>
                </c:pt>
                <c:pt idx="15">
                  <c:v>0.65331448</c:v>
                </c:pt>
                <c:pt idx="16">
                  <c:v>0.65379726</c:v>
                </c:pt>
                <c:pt idx="17">
                  <c:v>0.65428004</c:v>
                </c:pt>
                <c:pt idx="18">
                  <c:v>0.65476282</c:v>
                </c:pt>
                <c:pt idx="19">
                  <c:v>0.6552456</c:v>
                </c:pt>
                <c:pt idx="20">
                  <c:v>0.65572838</c:v>
                </c:pt>
                <c:pt idx="21">
                  <c:v>0.65621116</c:v>
                </c:pt>
                <c:pt idx="22">
                  <c:v>0.65669394</c:v>
                </c:pt>
                <c:pt idx="23">
                  <c:v>0.65717672</c:v>
                </c:pt>
                <c:pt idx="24">
                  <c:v>0.6576595</c:v>
                </c:pt>
                <c:pt idx="25">
                  <c:v>0.65814228</c:v>
                </c:pt>
                <c:pt idx="26">
                  <c:v>0.65862506</c:v>
                </c:pt>
                <c:pt idx="27">
                  <c:v>0.65910784</c:v>
                </c:pt>
                <c:pt idx="28">
                  <c:v>0.65959062</c:v>
                </c:pt>
                <c:pt idx="29">
                  <c:v>0.6600734</c:v>
                </c:pt>
                <c:pt idx="30">
                  <c:v>0.66055618</c:v>
                </c:pt>
                <c:pt idx="31">
                  <c:v>0.66103896</c:v>
                </c:pt>
                <c:pt idx="32">
                  <c:v>0.66152174</c:v>
                </c:pt>
                <c:pt idx="33">
                  <c:v>0.66200452</c:v>
                </c:pt>
                <c:pt idx="34">
                  <c:v>0.6624873</c:v>
                </c:pt>
                <c:pt idx="35">
                  <c:v>0.66297008</c:v>
                </c:pt>
                <c:pt idx="36">
                  <c:v>0.66345286</c:v>
                </c:pt>
                <c:pt idx="37">
                  <c:v>0.66393564</c:v>
                </c:pt>
                <c:pt idx="38">
                  <c:v>0.66441842</c:v>
                </c:pt>
                <c:pt idx="39">
                  <c:v>0.6649012</c:v>
                </c:pt>
                <c:pt idx="40">
                  <c:v>0.66538398</c:v>
                </c:pt>
                <c:pt idx="41">
                  <c:v>0.66586676</c:v>
                </c:pt>
                <c:pt idx="42">
                  <c:v>0.66634954</c:v>
                </c:pt>
                <c:pt idx="43">
                  <c:v>0.66683232</c:v>
                </c:pt>
                <c:pt idx="44">
                  <c:v>0.6673151</c:v>
                </c:pt>
                <c:pt idx="45">
                  <c:v>0.66779788</c:v>
                </c:pt>
                <c:pt idx="46">
                  <c:v>0.66828066</c:v>
                </c:pt>
                <c:pt idx="47">
                  <c:v>0.66876344</c:v>
                </c:pt>
                <c:pt idx="48">
                  <c:v>0.66924622</c:v>
                </c:pt>
                <c:pt idx="49">
                  <c:v>0.669729</c:v>
                </c:pt>
                <c:pt idx="50">
                  <c:v>0.67021178</c:v>
                </c:pt>
                <c:pt idx="51">
                  <c:v>0.67069456</c:v>
                </c:pt>
                <c:pt idx="52">
                  <c:v>0.67117734</c:v>
                </c:pt>
                <c:pt idx="53">
                  <c:v>0.67166012</c:v>
                </c:pt>
                <c:pt idx="54">
                  <c:v>0.6721429</c:v>
                </c:pt>
                <c:pt idx="55">
                  <c:v>0.67262568</c:v>
                </c:pt>
                <c:pt idx="56">
                  <c:v>0.67310846</c:v>
                </c:pt>
                <c:pt idx="57">
                  <c:v>0.67359124</c:v>
                </c:pt>
                <c:pt idx="58">
                  <c:v>0.67407402</c:v>
                </c:pt>
                <c:pt idx="59">
                  <c:v>0.6745568</c:v>
                </c:pt>
                <c:pt idx="60">
                  <c:v>0.67503958</c:v>
                </c:pt>
                <c:pt idx="61">
                  <c:v>0.67552236</c:v>
                </c:pt>
                <c:pt idx="62">
                  <c:v>0.67600514</c:v>
                </c:pt>
                <c:pt idx="63">
                  <c:v>0.67648792</c:v>
                </c:pt>
                <c:pt idx="64">
                  <c:v>0.6769707</c:v>
                </c:pt>
                <c:pt idx="65">
                  <c:v>0.67745348</c:v>
                </c:pt>
                <c:pt idx="66">
                  <c:v>0.67793626</c:v>
                </c:pt>
                <c:pt idx="67">
                  <c:v>0.67841904</c:v>
                </c:pt>
                <c:pt idx="68">
                  <c:v>0.67890182</c:v>
                </c:pt>
                <c:pt idx="69">
                  <c:v>0.6793846</c:v>
                </c:pt>
                <c:pt idx="70">
                  <c:v>0.67986738</c:v>
                </c:pt>
                <c:pt idx="71">
                  <c:v>0.68035016</c:v>
                </c:pt>
                <c:pt idx="72">
                  <c:v>0.68083294</c:v>
                </c:pt>
                <c:pt idx="73">
                  <c:v>0.68131572</c:v>
                </c:pt>
                <c:pt idx="74">
                  <c:v>0.6817985</c:v>
                </c:pt>
                <c:pt idx="75">
                  <c:v>0.68228128</c:v>
                </c:pt>
                <c:pt idx="76">
                  <c:v>0.68276406</c:v>
                </c:pt>
                <c:pt idx="77">
                  <c:v>0.68324684</c:v>
                </c:pt>
                <c:pt idx="78">
                  <c:v>0.68372962</c:v>
                </c:pt>
                <c:pt idx="79">
                  <c:v>0.6842124</c:v>
                </c:pt>
                <c:pt idx="80">
                  <c:v>0.68469518</c:v>
                </c:pt>
                <c:pt idx="81">
                  <c:v>0.68517796</c:v>
                </c:pt>
                <c:pt idx="82">
                  <c:v>0.68566074</c:v>
                </c:pt>
                <c:pt idx="83">
                  <c:v>0.68614352</c:v>
                </c:pt>
                <c:pt idx="84">
                  <c:v>0.6866263</c:v>
                </c:pt>
                <c:pt idx="85">
                  <c:v>0.68710908</c:v>
                </c:pt>
                <c:pt idx="86">
                  <c:v>0.68759186</c:v>
                </c:pt>
                <c:pt idx="87">
                  <c:v>0.68807464</c:v>
                </c:pt>
                <c:pt idx="88">
                  <c:v>0.68855742</c:v>
                </c:pt>
                <c:pt idx="89">
                  <c:v>0.6890402</c:v>
                </c:pt>
                <c:pt idx="90">
                  <c:v>0.68952298</c:v>
                </c:pt>
                <c:pt idx="91">
                  <c:v>0.69000576</c:v>
                </c:pt>
                <c:pt idx="92">
                  <c:v>0.69048854</c:v>
                </c:pt>
                <c:pt idx="93">
                  <c:v>0.69097132</c:v>
                </c:pt>
                <c:pt idx="94">
                  <c:v>0.6914541</c:v>
                </c:pt>
                <c:pt idx="95">
                  <c:v>0.69193688</c:v>
                </c:pt>
                <c:pt idx="96">
                  <c:v>0.69241966</c:v>
                </c:pt>
              </c:numCache>
              <c:extLst>
                <c:ext xmlns:c15="http://schemas.microsoft.com/office/drawing/2012/chart" uri="{02D57815-91ED-43cb-92C2-25804820EDAC}">
                  <c15:fullRef>
                    <c15:sqref>'Mass Merch Data'!$T$4:$T$103</c15:sqref>
                  </c15:fullRef>
                </c:ext>
              </c:extLst>
            </c:numRef>
          </c:val>
          <c:smooth val="0"/>
        </c:ser>
        <c:dLbls>
          <c:showLegendKey val="0"/>
          <c:showVal val="0"/>
          <c:showCatName val="0"/>
          <c:showSerName val="0"/>
          <c:showPercent val="0"/>
          <c:showBubbleSize val="0"/>
        </c:dLbls>
        <c:marker val="1"/>
        <c:smooth val="0"/>
        <c:axId val="2117356824"/>
        <c:axId val="2117353032"/>
      </c:lineChart>
      <c:dateAx>
        <c:axId val="211735682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353032"/>
        <c:crosses val="autoZero"/>
        <c:auto val="1"/>
        <c:lblOffset val="100"/>
        <c:baseTimeUnit val="days"/>
      </c:dateAx>
      <c:valAx>
        <c:axId val="211735303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 of Total</a:t>
                </a:r>
              </a:p>
            </c:rich>
          </c:tx>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356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sheetPr codeName="Chart6">
    <tabColor theme="2" tint="-0.749992370372631"/>
  </sheetPr>
  <sheetViews>
    <sheetView tabSelected="1" zoomScale="103" workbookViewId="0" zoomToFit="1"/>
  </sheetViews>
  <pageMargins left="0.7" right="0.7" top="0.75" bottom="0.75" header="0.3" footer="0.3"/>
  <pageSetup orientation="landscape"/>
  <drawing r:id="rId1"/>
</chartsheet>
</file>

<file path=xl/chartsheets/sheet2.xml><?xml version="1.0" encoding="utf-8"?>
<chartsheet xmlns="http://schemas.openxmlformats.org/spreadsheetml/2006/main" xmlns:r="http://schemas.openxmlformats.org/officeDocument/2006/relationships">
  <sheetPr codeName="Chart1">
    <tabColor theme="2" tint="-0.749992370372631"/>
  </sheetPr>
  <sheetViews>
    <sheetView zoomScale="103" workbookViewId="0" zoomToFit="1"/>
  </sheetViews>
  <pageMargins left="0.7" right="0.7" top="0.75" bottom="0.75" header="0.3" footer="0.3"/>
  <pageSetup orientation="landscape"/>
  <drawing r:id="rId1"/>
</chartsheet>
</file>

<file path=xl/chartsheets/sheet3.xml><?xml version="1.0" encoding="utf-8"?>
<chartsheet xmlns="http://schemas.openxmlformats.org/spreadsheetml/2006/main" xmlns:r="http://schemas.openxmlformats.org/officeDocument/2006/relationships">
  <sheetPr codeName="Chart2">
    <tabColor theme="2" tint="-0.749992370372631"/>
  </sheetPr>
  <sheetViews>
    <sheetView zoomScale="111" workbookViewId="0" zoomToFit="1"/>
  </sheetViews>
  <pageMargins left="0.7" right="0.7" top="0.75" bottom="0.75" header="0.3" footer="0.3"/>
  <pageSetup orientation="landscape" horizontalDpi="4294967292" verticalDpi="4294967292"/>
  <drawing r:id="rId1"/>
</chartsheet>
</file>

<file path=xl/chartsheets/sheet4.xml><?xml version="1.0" encoding="utf-8"?>
<chartsheet xmlns="http://schemas.openxmlformats.org/spreadsheetml/2006/main" xmlns:r="http://schemas.openxmlformats.org/officeDocument/2006/relationships">
  <sheetPr codeName="Chart3">
    <tabColor theme="2" tint="-0.749992370372631"/>
  </sheetPr>
  <sheetViews>
    <sheetView zoomScale="111" workbookViewId="0" zoomToFit="1"/>
  </sheetViews>
  <pageMargins left="0.7" right="0.7" top="0.75" bottom="0.75" header="0.3" footer="0.3"/>
  <pageSetup orientation="landscape" horizontalDpi="4294967292" verticalDpi="4294967292"/>
  <drawing r:id="rId1"/>
</chartsheet>
</file>

<file path=xl/chartsheets/sheet5.xml><?xml version="1.0" encoding="utf-8"?>
<chartsheet xmlns="http://schemas.openxmlformats.org/spreadsheetml/2006/main" xmlns:r="http://schemas.openxmlformats.org/officeDocument/2006/relationships">
  <sheetPr codeName="Chart5">
    <tabColor theme="2" tint="-0.749992370372631"/>
  </sheetPr>
  <sheetViews>
    <sheetView zoomScale="111" workbookViewId="0" zoomToFit="1"/>
  </sheetViews>
  <pageMargins left="0.7" right="0.7" top="0.75" bottom="0.75" header="0.3" footer="0.3"/>
  <pageSetup orientation="landscape" horizontalDpi="4294967292" verticalDpi="4294967292"/>
  <drawing r:id="rId1"/>
</chartsheet>
</file>

<file path=xl/chartsheets/sheet6.xml><?xml version="1.0" encoding="utf-8"?>
<chartsheet xmlns="http://schemas.openxmlformats.org/spreadsheetml/2006/main" xmlns:r="http://schemas.openxmlformats.org/officeDocument/2006/relationships">
  <sheetPr codeName="Chart4">
    <tabColor theme="2" tint="-0.749992370372631"/>
  </sheetPr>
  <sheetViews>
    <sheetView zoomScale="111" workbookViewId="0" zoomToFit="1"/>
  </sheetViews>
  <pageMargins left="0.7" right="0.7" top="0.75" bottom="0.75" header="0.3" footer="0.3"/>
  <pageSetup orientation="landscape" horizontalDpi="4294967292" verticalDpi="4294967292"/>
  <drawing r:id="rId1"/>
</chartsheet>
</file>

<file path=xl/chartsheets/sheet7.xml><?xml version="1.0" encoding="utf-8"?>
<chartsheet xmlns="http://schemas.openxmlformats.org/spreadsheetml/2006/main" xmlns:r="http://schemas.openxmlformats.org/officeDocument/2006/relationships">
  <sheetPr>
    <tabColor theme="2" tint="-0.749992370372631"/>
  </sheetPr>
  <sheetViews>
    <sheetView zoomScale="111" workbookViewId="0" zoomToFit="1"/>
  </sheetViews>
  <pageMargins left="0.7" right="0.7" top="0.75" bottom="0.75" header="0.3" footer="0.3"/>
  <pageSetup orientation="landscape" horizontalDpi="4294967292" verticalDpi="4294967292"/>
  <drawing r:id="rId1"/>
</chartsheet>
</file>

<file path=xl/chartsheets/sheet8.xml><?xml version="1.0" encoding="utf-8"?>
<chartsheet xmlns="http://schemas.openxmlformats.org/spreadsheetml/2006/main" xmlns:r="http://schemas.openxmlformats.org/officeDocument/2006/relationships">
  <sheetPr codeName="Chart8">
    <tabColor theme="2" tint="-0.749992370372631"/>
  </sheetPr>
  <sheetViews>
    <sheetView zoomScale="95" workbookViewId="0"/>
  </sheetViews>
  <pageMargins left="0.7" right="0.7" top="0.75" bottom="0.75" header="0.3" footer="0.3"/>
  <pageSetup orientation="landscape" horizontalDpi="4294967292" verticalDpi="4294967292"/>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absoluteAnchor>
    <xdr:pos x="0" y="0"/>
    <xdr:ext cx="8673171" cy="628804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c:userShapes xmlns:c="http://schemas.openxmlformats.org/drawingml/2006/chart">
  <cdr:relSizeAnchor xmlns:cdr="http://schemas.openxmlformats.org/drawingml/2006/chartDrawing">
    <cdr:from>
      <cdr:x>0.74977</cdr:x>
      <cdr:y>0.08995</cdr:y>
    </cdr:from>
    <cdr:to>
      <cdr:x>0.74977</cdr:x>
      <cdr:y>0.85076</cdr:y>
    </cdr:to>
    <cdr:cxnSp macro="">
      <cdr:nvCxnSpPr>
        <cdr:cNvPr id="7" name="Straight Connector 6"/>
        <cdr:cNvCxnSpPr/>
      </cdr:nvCxnSpPr>
      <cdr:spPr>
        <a:xfrm xmlns:a="http://schemas.openxmlformats.org/drawingml/2006/main" flipV="1">
          <a:off x="6502883" y="565637"/>
          <a:ext cx="0" cy="4784011"/>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absoluteAnchor>
    <xdr:pos x="0" y="0"/>
    <xdr:ext cx="8673171" cy="628804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0.74154</cdr:x>
      <cdr:y>0.08506</cdr:y>
    </cdr:from>
    <cdr:to>
      <cdr:x>0.74154</cdr:x>
      <cdr:y>0.81641</cdr:y>
    </cdr:to>
    <cdr:cxnSp macro="">
      <cdr:nvCxnSpPr>
        <cdr:cNvPr id="2" name="Straight Connector 1"/>
        <cdr:cNvCxnSpPr/>
      </cdr:nvCxnSpPr>
      <cdr:spPr>
        <a:xfrm xmlns:a="http://schemas.openxmlformats.org/drawingml/2006/main" flipV="1">
          <a:off x="6431490" y="534879"/>
          <a:ext cx="0" cy="4598764"/>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absoluteAnchor>
    <xdr:pos x="0" y="0"/>
    <xdr:ext cx="8581081" cy="583513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0.74963</cdr:x>
      <cdr:y>0.08193</cdr:y>
    </cdr:from>
    <cdr:to>
      <cdr:x>0.74963</cdr:x>
      <cdr:y>0.84141</cdr:y>
    </cdr:to>
    <cdr:cxnSp macro="">
      <cdr:nvCxnSpPr>
        <cdr:cNvPr id="2" name="Straight Connector 1"/>
        <cdr:cNvCxnSpPr/>
      </cdr:nvCxnSpPr>
      <cdr:spPr>
        <a:xfrm xmlns:a="http://schemas.openxmlformats.org/drawingml/2006/main" flipV="1">
          <a:off x="6498205" y="515475"/>
          <a:ext cx="0" cy="4778118"/>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xdr:wsDr xmlns:xdr="http://schemas.openxmlformats.org/drawingml/2006/spreadsheetDrawing" xmlns:a="http://schemas.openxmlformats.org/drawingml/2006/main">
  <xdr:absoluteAnchor>
    <xdr:pos x="0" y="0"/>
    <xdr:ext cx="8581081" cy="583513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0.74218</cdr:x>
      <cdr:y>0.10955</cdr:y>
    </cdr:from>
    <cdr:to>
      <cdr:x>0.74218</cdr:x>
      <cdr:y>0.84092</cdr:y>
    </cdr:to>
    <cdr:cxnSp macro="">
      <cdr:nvCxnSpPr>
        <cdr:cNvPr id="5" name="Straight Connector 4"/>
        <cdr:cNvCxnSpPr/>
      </cdr:nvCxnSpPr>
      <cdr:spPr>
        <a:xfrm xmlns:a="http://schemas.openxmlformats.org/drawingml/2006/main" flipV="1">
          <a:off x="6433624" y="689240"/>
          <a:ext cx="0" cy="4601271"/>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xdr:wsDr xmlns:xdr="http://schemas.openxmlformats.org/drawingml/2006/spreadsheetDrawing" xmlns:a="http://schemas.openxmlformats.org/drawingml/2006/main">
  <xdr:absoluteAnchor>
    <xdr:pos x="0" y="0"/>
    <xdr:ext cx="8558068" cy="581602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0.74711</cdr:x>
      <cdr:y>0.08193</cdr:y>
    </cdr:from>
    <cdr:to>
      <cdr:x>0.74711</cdr:x>
      <cdr:y>0.84142</cdr:y>
    </cdr:to>
    <cdr:cxnSp macro="">
      <cdr:nvCxnSpPr>
        <cdr:cNvPr id="2" name="Straight Connector 1"/>
        <cdr:cNvCxnSpPr/>
      </cdr:nvCxnSpPr>
      <cdr:spPr>
        <a:xfrm xmlns:a="http://schemas.openxmlformats.org/drawingml/2006/main" flipV="1">
          <a:off x="6476360" y="515475"/>
          <a:ext cx="0" cy="4778181"/>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1.xml><?xml version="1.0" encoding="utf-8"?>
<xdr:wsDr xmlns:xdr="http://schemas.openxmlformats.org/drawingml/2006/spreadsheetDrawing" xmlns:a="http://schemas.openxmlformats.org/drawingml/2006/main">
  <xdr:absoluteAnchor>
    <xdr:pos x="0" y="0"/>
    <xdr:ext cx="8558068" cy="581602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0.74218</cdr:x>
      <cdr:y>0.10955</cdr:y>
    </cdr:from>
    <cdr:to>
      <cdr:x>0.74218</cdr:x>
      <cdr:y>0.84092</cdr:y>
    </cdr:to>
    <cdr:cxnSp macro="">
      <cdr:nvCxnSpPr>
        <cdr:cNvPr id="2" name="Straight Connector 1"/>
        <cdr:cNvCxnSpPr/>
      </cdr:nvCxnSpPr>
      <cdr:spPr>
        <a:xfrm xmlns:a="http://schemas.openxmlformats.org/drawingml/2006/main" flipV="1">
          <a:off x="6433624" y="689240"/>
          <a:ext cx="0" cy="4601271"/>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8558068" cy="581602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0.74709</cdr:x>
      <cdr:y>0.11094</cdr:y>
    </cdr:from>
    <cdr:to>
      <cdr:x>0.74709</cdr:x>
      <cdr:y>0.84104</cdr:y>
    </cdr:to>
    <cdr:cxnSp macro="">
      <cdr:nvCxnSpPr>
        <cdr:cNvPr id="2" name="Straight Connector 1"/>
        <cdr:cNvCxnSpPr/>
      </cdr:nvCxnSpPr>
      <cdr:spPr>
        <a:xfrm xmlns:a="http://schemas.openxmlformats.org/drawingml/2006/main" flipV="1">
          <a:off x="6476187" y="697971"/>
          <a:ext cx="0" cy="4593281"/>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absoluteAnchor>
    <xdr:pos x="0" y="0"/>
    <xdr:ext cx="8569158" cy="5828632"/>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0.74058</cdr:x>
      <cdr:y>0.10797</cdr:y>
    </cdr:from>
    <cdr:to>
      <cdr:x>0.74058</cdr:x>
      <cdr:y>0.84061</cdr:y>
    </cdr:to>
    <cdr:cxnSp macro="">
      <cdr:nvCxnSpPr>
        <cdr:cNvPr id="5" name="Straight Connector 4"/>
        <cdr:cNvCxnSpPr/>
      </cdr:nvCxnSpPr>
      <cdr:spPr>
        <a:xfrm xmlns:a="http://schemas.openxmlformats.org/drawingml/2006/main" flipV="1">
          <a:off x="6415450" y="678784"/>
          <a:ext cx="0" cy="4605741"/>
        </a:xfrm>
        <a:prstGeom xmlns:a="http://schemas.openxmlformats.org/drawingml/2006/main" prst="line">
          <a:avLst/>
        </a:prstGeom>
        <a:ln xmlns:a="http://schemas.openxmlformats.org/drawingml/2006/main">
          <a:solidFill>
            <a:schemeClr val="bg2">
              <a:lumMod val="1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rgb="FF00B0F0"/>
  </sheetPr>
  <dimension ref="A1:B32"/>
  <sheetViews>
    <sheetView workbookViewId="0">
      <selection activeCell="B4" sqref="B4"/>
    </sheetView>
  </sheetViews>
  <sheetFormatPr baseColWidth="10" defaultColWidth="8.83203125" defaultRowHeight="14" x14ac:dyDescent="0"/>
  <cols>
    <col min="1" max="1" width="38" customWidth="1"/>
    <col min="2" max="2" width="107.5" customWidth="1"/>
  </cols>
  <sheetData>
    <row r="1" spans="1:2" s="4" customFormat="1">
      <c r="A1" s="5" t="s">
        <v>40</v>
      </c>
      <c r="B1" s="5" t="s">
        <v>41</v>
      </c>
    </row>
    <row r="2" spans="1:2" ht="58.5" customHeight="1">
      <c r="A2" s="22" t="s">
        <v>63</v>
      </c>
      <c r="B2" s="9" t="s">
        <v>58</v>
      </c>
    </row>
    <row r="3" spans="1:2" s="4" customFormat="1" ht="58.5" customHeight="1">
      <c r="A3" s="20" t="s">
        <v>56</v>
      </c>
      <c r="B3" s="9" t="s">
        <v>83</v>
      </c>
    </row>
    <row r="4" spans="1:2" ht="78" customHeight="1">
      <c r="A4" s="20" t="s">
        <v>57</v>
      </c>
      <c r="B4" s="9" t="s">
        <v>82</v>
      </c>
    </row>
    <row r="5" spans="1:2" ht="32.25" customHeight="1">
      <c r="A5" s="20" t="s">
        <v>55</v>
      </c>
      <c r="B5" s="9" t="s">
        <v>59</v>
      </c>
    </row>
    <row r="6" spans="1:2" s="4" customFormat="1" ht="32.25" customHeight="1">
      <c r="A6" s="20" t="s">
        <v>24</v>
      </c>
      <c r="B6" s="9" t="s">
        <v>60</v>
      </c>
    </row>
    <row r="7" spans="1:2" ht="74.25" customHeight="1">
      <c r="A7" s="21" t="s">
        <v>66</v>
      </c>
      <c r="B7" s="9" t="s">
        <v>70</v>
      </c>
    </row>
    <row r="8" spans="1:2" ht="81" customHeight="1">
      <c r="A8" s="22" t="s">
        <v>67</v>
      </c>
      <c r="B8" s="9" t="s">
        <v>71</v>
      </c>
    </row>
    <row r="9" spans="1:2" ht="35.25" customHeight="1">
      <c r="A9" s="21" t="s">
        <v>68</v>
      </c>
      <c r="B9" s="9" t="s">
        <v>72</v>
      </c>
    </row>
    <row r="10" spans="1:2" ht="33" customHeight="1">
      <c r="A10" s="22" t="s">
        <v>69</v>
      </c>
      <c r="B10" s="9" t="s">
        <v>73</v>
      </c>
    </row>
    <row r="11" spans="1:2" ht="45" customHeight="1">
      <c r="A11" s="20" t="s">
        <v>35</v>
      </c>
      <c r="B11" s="9" t="s">
        <v>74</v>
      </c>
    </row>
    <row r="12" spans="1:2" ht="32.25" customHeight="1">
      <c r="A12" s="20" t="s">
        <v>65</v>
      </c>
      <c r="B12" s="9" t="s">
        <v>61</v>
      </c>
    </row>
    <row r="13" spans="1:2" ht="34.5" customHeight="1">
      <c r="A13" s="20" t="s">
        <v>54</v>
      </c>
      <c r="B13" s="9" t="s">
        <v>76</v>
      </c>
    </row>
    <row r="14" spans="1:2" ht="37.5" customHeight="1">
      <c r="A14" s="21" t="s">
        <v>36</v>
      </c>
      <c r="B14" s="9" t="s">
        <v>75</v>
      </c>
    </row>
    <row r="15" spans="1:2" s="4" customFormat="1" ht="37.5" customHeight="1">
      <c r="A15" s="22" t="s">
        <v>64</v>
      </c>
      <c r="B15" s="9" t="s">
        <v>62</v>
      </c>
    </row>
    <row r="16" spans="1:2" s="4" customFormat="1" ht="37.5" customHeight="1">
      <c r="B16" s="9"/>
    </row>
    <row r="17" spans="1:2" ht="51.75" customHeight="1">
      <c r="A17" s="10" t="s">
        <v>45</v>
      </c>
      <c r="B17" s="9" t="s">
        <v>46</v>
      </c>
    </row>
    <row r="18" spans="1:2">
      <c r="B18" s="9"/>
    </row>
    <row r="19" spans="1:2" ht="73.5" customHeight="1">
      <c r="A19" s="10" t="s">
        <v>42</v>
      </c>
      <c r="B19" s="9" t="s">
        <v>43</v>
      </c>
    </row>
    <row r="20" spans="1:2" ht="59.25" customHeight="1">
      <c r="A20" s="8"/>
      <c r="B20" s="9" t="s">
        <v>44</v>
      </c>
    </row>
    <row r="21" spans="1:2">
      <c r="B21" s="9"/>
    </row>
    <row r="22" spans="1:2">
      <c r="B22" s="9"/>
    </row>
    <row r="23" spans="1:2">
      <c r="B23" s="9"/>
    </row>
    <row r="24" spans="1:2">
      <c r="B24" s="7"/>
    </row>
    <row r="25" spans="1:2">
      <c r="B25" s="7"/>
    </row>
    <row r="26" spans="1:2">
      <c r="B26" s="7"/>
    </row>
    <row r="27" spans="1:2">
      <c r="B27" s="7"/>
    </row>
    <row r="28" spans="1:2">
      <c r="B28" s="7"/>
    </row>
    <row r="29" spans="1:2">
      <c r="B29" s="7"/>
    </row>
    <row r="30" spans="1:2">
      <c r="B30" s="7"/>
    </row>
    <row r="31" spans="1:2">
      <c r="B31" s="7"/>
    </row>
    <row r="32" spans="1:2">
      <c r="B32" s="7"/>
    </row>
  </sheetData>
  <phoneticPr fontId="10" type="noConversion"/>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sheetPr>
  <dimension ref="A1:J9"/>
  <sheetViews>
    <sheetView workbookViewId="0">
      <selection activeCell="E19" sqref="E19"/>
    </sheetView>
  </sheetViews>
  <sheetFormatPr baseColWidth="10" defaultColWidth="8.83203125" defaultRowHeight="14" x14ac:dyDescent="0"/>
  <cols>
    <col min="1" max="1" width="20.33203125" customWidth="1"/>
    <col min="2" max="2" width="16.5" customWidth="1"/>
    <col min="3" max="3" width="14.33203125" style="4" customWidth="1"/>
    <col min="4" max="4" width="17" customWidth="1"/>
    <col min="5" max="5" width="15.1640625" style="4" customWidth="1"/>
    <col min="6" max="6" width="12.6640625" bestFit="1" customWidth="1"/>
    <col min="7" max="8" width="9.33203125" bestFit="1" customWidth="1"/>
    <col min="9" max="9" width="17.33203125" customWidth="1"/>
  </cols>
  <sheetData>
    <row r="1" spans="1:10" s="4" customFormat="1" ht="42">
      <c r="C1" s="29" t="s">
        <v>63</v>
      </c>
      <c r="D1" s="29" t="s">
        <v>67</v>
      </c>
      <c r="E1" s="29" t="s">
        <v>69</v>
      </c>
      <c r="F1" s="29" t="s">
        <v>81</v>
      </c>
      <c r="G1" s="29" t="s">
        <v>39</v>
      </c>
      <c r="I1" s="31" t="s">
        <v>86</v>
      </c>
      <c r="J1" s="3"/>
    </row>
    <row r="2" spans="1:10" s="4" customFormat="1" ht="15" customHeight="1">
      <c r="A2" s="39" t="s">
        <v>15</v>
      </c>
      <c r="B2" s="35" t="s">
        <v>84</v>
      </c>
      <c r="C2" s="36">
        <v>0.73560752168712296</v>
      </c>
      <c r="D2" s="36">
        <v>-6.259198417881394E-8</v>
      </c>
      <c r="E2" s="36">
        <v>1.5918267463208078E-3</v>
      </c>
      <c r="F2" s="36">
        <v>0.26280071415854067</v>
      </c>
      <c r="G2" s="41">
        <v>1.2200000000000001E-2</v>
      </c>
      <c r="I2" s="30">
        <f>SUM(C2:F2)</f>
        <v>1.0000000000000004</v>
      </c>
      <c r="J2" s="3"/>
    </row>
    <row r="3" spans="1:10" s="4" customFormat="1" ht="15" customHeight="1">
      <c r="A3" s="39"/>
      <c r="B3" s="34" t="s">
        <v>85</v>
      </c>
      <c r="C3" s="32">
        <v>0.67516436466941498</v>
      </c>
      <c r="D3" s="32">
        <v>7.7118639724297125E-2</v>
      </c>
      <c r="E3" s="32">
        <v>8.2591227732383463E-2</v>
      </c>
      <c r="F3" s="32">
        <v>0.16512576787390448</v>
      </c>
      <c r="G3" s="42"/>
      <c r="I3" s="30">
        <f>SUM(C3:F3)</f>
        <v>1</v>
      </c>
      <c r="J3" s="3"/>
    </row>
    <row r="4" spans="1:10" ht="15" customHeight="1">
      <c r="A4" s="40" t="s">
        <v>13</v>
      </c>
      <c r="B4" s="35" t="s">
        <v>84</v>
      </c>
      <c r="C4" s="37">
        <v>0.75224503950515464</v>
      </c>
      <c r="D4" s="37">
        <v>-4.0800266094170893E-8</v>
      </c>
      <c r="E4" s="37">
        <v>2.8443957153457683E-3</v>
      </c>
      <c r="F4" s="37">
        <v>0.24491060557976579</v>
      </c>
      <c r="G4" s="43">
        <v>8.9999999999999993E-3</v>
      </c>
      <c r="I4" s="30">
        <f t="shared" ref="I4:I9" si="0">SUM(C4:F4)</f>
        <v>1.0000000000000002</v>
      </c>
    </row>
    <row r="5" spans="1:10" ht="15" customHeight="1">
      <c r="A5" s="40"/>
      <c r="B5" s="34" t="s">
        <v>85</v>
      </c>
      <c r="C5" s="33">
        <v>0.67995869039250467</v>
      </c>
      <c r="D5" s="33">
        <v>8.485094564593168E-2</v>
      </c>
      <c r="E5" s="33">
        <v>8.9770555597458709E-2</v>
      </c>
      <c r="F5" s="33">
        <v>0.14541980836410476</v>
      </c>
      <c r="G5" s="44"/>
      <c r="I5" s="30">
        <f t="shared" si="0"/>
        <v>0.99999999999999978</v>
      </c>
    </row>
    <row r="6" spans="1:10" ht="15" customHeight="1">
      <c r="A6" s="39" t="s">
        <v>37</v>
      </c>
      <c r="B6" s="35" t="s">
        <v>84</v>
      </c>
      <c r="C6" s="36">
        <v>0.65817488519513034</v>
      </c>
      <c r="D6" s="36">
        <v>-1.3285478787675957E-7</v>
      </c>
      <c r="E6" s="36">
        <v>1.1517568618292307E-6</v>
      </c>
      <c r="F6" s="36">
        <v>0.34182409590279578</v>
      </c>
      <c r="G6" s="41">
        <v>1.14E-2</v>
      </c>
      <c r="I6" s="30">
        <f t="shared" si="0"/>
        <v>1.0000000000000002</v>
      </c>
    </row>
    <row r="7" spans="1:10" ht="15" customHeight="1">
      <c r="A7" s="39"/>
      <c r="B7" s="34" t="s">
        <v>85</v>
      </c>
      <c r="C7" s="32">
        <v>0.59479761767228911</v>
      </c>
      <c r="D7" s="32">
        <v>8.4220061253280049E-2</v>
      </c>
      <c r="E7" s="32">
        <v>9.665926718318596E-2</v>
      </c>
      <c r="F7" s="32">
        <v>0.22432305389124513</v>
      </c>
      <c r="G7" s="42"/>
      <c r="I7" s="30">
        <f t="shared" si="0"/>
        <v>1.0000000000000002</v>
      </c>
    </row>
    <row r="8" spans="1:10" ht="15" customHeight="1">
      <c r="A8" s="40" t="s">
        <v>14</v>
      </c>
      <c r="B8" s="35" t="s">
        <v>84</v>
      </c>
      <c r="C8" s="37">
        <v>0.66365403571854797</v>
      </c>
      <c r="D8" s="37">
        <v>-3.7563217110143569E-8</v>
      </c>
      <c r="E8" s="37">
        <v>0</v>
      </c>
      <c r="F8" s="37">
        <v>0.33634600184466956</v>
      </c>
      <c r="G8" s="43">
        <v>1.9199999999999998E-2</v>
      </c>
      <c r="I8" s="30">
        <f t="shared" si="0"/>
        <v>1.0000000000000004</v>
      </c>
    </row>
    <row r="9" spans="1:10" ht="15" customHeight="1">
      <c r="A9" s="40"/>
      <c r="B9" s="34" t="s">
        <v>85</v>
      </c>
      <c r="C9" s="33">
        <v>0.60690227995352986</v>
      </c>
      <c r="D9" s="33">
        <v>9.6945274699516817E-2</v>
      </c>
      <c r="E9" s="33">
        <v>9.7086926935755782E-2</v>
      </c>
      <c r="F9" s="33">
        <v>0.19906551841119782</v>
      </c>
      <c r="G9" s="44"/>
      <c r="I9" s="30">
        <f t="shared" si="0"/>
        <v>1.0000000000000004</v>
      </c>
    </row>
  </sheetData>
  <mergeCells count="8">
    <mergeCell ref="A2:A3"/>
    <mergeCell ref="A4:A5"/>
    <mergeCell ref="A6:A7"/>
    <mergeCell ref="A8:A9"/>
    <mergeCell ref="G2:G3"/>
    <mergeCell ref="G4:G5"/>
    <mergeCell ref="G6:G7"/>
    <mergeCell ref="G8:G9"/>
  </mergeCells>
  <phoneticPr fontId="10" type="noConversion"/>
  <pageMargins left="0.7" right="0.7" top="0.75" bottom="0.75" header="0.3" footer="0.3"/>
  <pageSetup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rgb="FFFFFF00"/>
  </sheetPr>
  <dimension ref="A1:CE115"/>
  <sheetViews>
    <sheetView topLeftCell="D1" workbookViewId="0">
      <selection activeCell="N7" sqref="N7"/>
    </sheetView>
  </sheetViews>
  <sheetFormatPr baseColWidth="10" defaultColWidth="8.83203125" defaultRowHeight="14" x14ac:dyDescent="0"/>
  <cols>
    <col min="1" max="1" width="36.33203125" bestFit="1" customWidth="1"/>
    <col min="3" max="3" width="8.83203125" style="4"/>
    <col min="4" max="4" width="14.6640625" style="4" customWidth="1"/>
    <col min="5" max="5" width="11.1640625" style="4" bestFit="1" customWidth="1"/>
    <col min="6" max="6" width="11.1640625" style="4" customWidth="1"/>
    <col min="7" max="7" width="16.6640625" style="4" customWidth="1"/>
    <col min="8" max="8" width="12.1640625" style="4" customWidth="1"/>
    <col min="9" max="9" width="12" style="4" customWidth="1"/>
    <col min="11" max="12" width="8.83203125" style="4"/>
    <col min="13" max="13" width="13.83203125" style="4" customWidth="1"/>
    <col min="14" max="14" width="12.83203125" customWidth="1"/>
    <col min="15" max="15" width="13.5" customWidth="1"/>
    <col min="17" max="17" width="12.5" customWidth="1"/>
    <col min="20" max="20" width="14.83203125" customWidth="1"/>
    <col min="21" max="21" width="13.33203125" style="4" bestFit="1" customWidth="1"/>
    <col min="22" max="23" width="13.33203125" style="11" customWidth="1"/>
    <col min="25" max="25" width="11.5" style="3" bestFit="1" customWidth="1"/>
    <col min="26" max="26" width="9.33203125" bestFit="1" customWidth="1"/>
    <col min="27" max="27" width="11.1640625" bestFit="1" customWidth="1"/>
    <col min="28" max="28" width="9.1640625" bestFit="1" customWidth="1"/>
    <col min="29" max="29" width="17.83203125" bestFit="1" customWidth="1"/>
    <col min="30" max="30" width="12.1640625" bestFit="1" customWidth="1"/>
    <col min="31" max="31" width="17.1640625" bestFit="1" customWidth="1"/>
    <col min="32" max="32" width="21.1640625" bestFit="1" customWidth="1"/>
    <col min="33" max="47" width="9.33203125" bestFit="1" customWidth="1"/>
    <col min="48" max="48" width="22.33203125" bestFit="1" customWidth="1"/>
    <col min="49" max="54" width="9.33203125" bestFit="1" customWidth="1"/>
    <col min="55" max="55" width="20.1640625" bestFit="1" customWidth="1"/>
    <col min="56" max="60" width="9.33203125" bestFit="1" customWidth="1"/>
    <col min="61" max="61" width="24.1640625" bestFit="1" customWidth="1"/>
    <col min="62" max="68" width="9.33203125" bestFit="1" customWidth="1"/>
    <col min="69" max="69" width="23.6640625" bestFit="1" customWidth="1"/>
    <col min="70" max="71" width="9.33203125" bestFit="1" customWidth="1"/>
    <col min="72" max="72" width="34.33203125" bestFit="1" customWidth="1"/>
    <col min="73" max="73" width="9.33203125" bestFit="1" customWidth="1"/>
    <col min="74" max="74" width="38.83203125" bestFit="1" customWidth="1"/>
    <col min="75" max="79" width="9.33203125" bestFit="1" customWidth="1"/>
    <col min="80" max="80" width="34.33203125" bestFit="1" customWidth="1"/>
    <col min="81" max="81" width="12" bestFit="1" customWidth="1"/>
  </cols>
  <sheetData>
    <row r="1" spans="1:83" s="11" customFormat="1" ht="13.5" customHeight="1" thickBot="1">
      <c r="A1" s="12" t="s">
        <v>25</v>
      </c>
      <c r="D1" s="4"/>
      <c r="Y1" s="4"/>
      <c r="Z1" s="4" t="s">
        <v>0</v>
      </c>
      <c r="AA1" s="4"/>
      <c r="AB1" s="4"/>
      <c r="AC1" s="4"/>
      <c r="AD1" s="4"/>
      <c r="AE1" s="4"/>
      <c r="AF1" s="4" t="s">
        <v>18</v>
      </c>
      <c r="AG1" s="4" t="s">
        <v>2</v>
      </c>
      <c r="AH1" s="4"/>
      <c r="AI1" s="4"/>
      <c r="AJ1" s="4"/>
      <c r="AK1" s="4"/>
      <c r="AL1" s="4"/>
      <c r="AM1" s="4"/>
      <c r="AN1" s="4"/>
      <c r="AO1" s="4"/>
      <c r="AP1" s="4"/>
      <c r="AQ1" s="4"/>
      <c r="AR1" s="4"/>
      <c r="AS1" s="4"/>
      <c r="AT1" s="4"/>
      <c r="AU1" s="4"/>
      <c r="AV1" s="4"/>
      <c r="AW1" s="4"/>
      <c r="AX1" s="4"/>
      <c r="AY1" s="4"/>
      <c r="AZ1" s="4"/>
      <c r="BA1" s="4"/>
      <c r="BB1" s="4"/>
      <c r="BC1" s="4" t="s">
        <v>19</v>
      </c>
      <c r="BD1" s="4" t="s">
        <v>7</v>
      </c>
      <c r="BE1" s="4"/>
      <c r="BF1" s="4"/>
      <c r="BG1" s="4"/>
      <c r="BH1" s="4"/>
      <c r="BI1" s="4"/>
      <c r="BJ1" s="4"/>
      <c r="BK1" s="4" t="s">
        <v>20</v>
      </c>
      <c r="BL1" s="4" t="s">
        <v>10</v>
      </c>
      <c r="BM1" s="4"/>
      <c r="BN1" s="4"/>
      <c r="BO1" s="4"/>
      <c r="BP1" s="4"/>
      <c r="BQ1" s="4" t="s">
        <v>21</v>
      </c>
      <c r="BR1" s="4" t="s">
        <v>12</v>
      </c>
      <c r="BS1" s="4"/>
      <c r="BT1" s="4"/>
      <c r="BU1" s="4"/>
      <c r="BV1" s="4" t="s">
        <v>22</v>
      </c>
      <c r="BW1" s="4" t="s">
        <v>11</v>
      </c>
      <c r="BX1" s="4"/>
      <c r="BY1" s="4"/>
      <c r="BZ1" s="4"/>
      <c r="CA1" s="4"/>
      <c r="CB1" s="4" t="s">
        <v>23</v>
      </c>
      <c r="CC1" s="4" t="s">
        <v>16</v>
      </c>
      <c r="CD1" s="11" t="s">
        <v>80</v>
      </c>
      <c r="CE1" s="11" t="s">
        <v>78</v>
      </c>
    </row>
    <row r="2" spans="1:83" s="11" customFormat="1" ht="16" thickTop="1" thickBot="1">
      <c r="D2" s="4"/>
      <c r="E2" s="16"/>
      <c r="F2" s="16"/>
      <c r="H2" s="16"/>
      <c r="I2" s="16"/>
      <c r="K2" s="16"/>
      <c r="L2" s="4"/>
      <c r="M2" s="4"/>
      <c r="N2" s="16"/>
      <c r="U2" s="16"/>
      <c r="V2" s="16"/>
      <c r="W2" s="16"/>
      <c r="Y2" s="3"/>
      <c r="Z2" s="4" t="s">
        <v>1</v>
      </c>
      <c r="AA2" s="4"/>
      <c r="AB2" s="4"/>
      <c r="AC2" s="4" t="s">
        <v>47</v>
      </c>
      <c r="AD2" s="4" t="s">
        <v>3</v>
      </c>
      <c r="AE2" s="4" t="s">
        <v>48</v>
      </c>
      <c r="AF2" s="4"/>
      <c r="AG2" s="4" t="s">
        <v>1</v>
      </c>
      <c r="AH2" s="4"/>
      <c r="AI2" s="4"/>
      <c r="AJ2" s="4" t="s">
        <v>47</v>
      </c>
      <c r="AK2" s="4" t="s">
        <v>3</v>
      </c>
      <c r="AL2" s="4"/>
      <c r="AM2" s="4"/>
      <c r="AN2" s="4" t="s">
        <v>48</v>
      </c>
      <c r="AO2" s="4" t="s">
        <v>4</v>
      </c>
      <c r="AP2" s="4"/>
      <c r="AQ2" s="4"/>
      <c r="AR2" s="4" t="s">
        <v>49</v>
      </c>
      <c r="AS2" s="4" t="s">
        <v>5</v>
      </c>
      <c r="AT2" s="4"/>
      <c r="AU2" s="4" t="s">
        <v>50</v>
      </c>
      <c r="AV2" s="4" t="s">
        <v>6</v>
      </c>
      <c r="AW2" s="4"/>
      <c r="AX2" s="4"/>
      <c r="AY2" s="4" t="s">
        <v>51</v>
      </c>
      <c r="AZ2" s="4" t="s">
        <v>8</v>
      </c>
      <c r="BA2" s="4"/>
      <c r="BB2" s="4" t="s">
        <v>52</v>
      </c>
      <c r="BC2" s="4"/>
      <c r="BD2" s="4" t="s">
        <v>1</v>
      </c>
      <c r="BE2" s="4"/>
      <c r="BF2" s="4"/>
      <c r="BG2" s="4" t="s">
        <v>47</v>
      </c>
      <c r="BH2" s="4" t="s">
        <v>3</v>
      </c>
      <c r="BI2" s="4"/>
      <c r="BJ2" s="4" t="s">
        <v>48</v>
      </c>
      <c r="BK2" s="4"/>
      <c r="BL2" s="4" t="s">
        <v>1</v>
      </c>
      <c r="BM2" s="4" t="s">
        <v>47</v>
      </c>
      <c r="BN2" s="4" t="s">
        <v>3</v>
      </c>
      <c r="BO2" s="4"/>
      <c r="BP2" s="4" t="s">
        <v>48</v>
      </c>
      <c r="BQ2" s="4"/>
      <c r="BR2" s="4" t="s">
        <v>1</v>
      </c>
      <c r="BS2" s="4" t="s">
        <v>47</v>
      </c>
      <c r="BT2" s="4" t="s">
        <v>3</v>
      </c>
      <c r="BU2" s="4" t="s">
        <v>48</v>
      </c>
      <c r="BV2" s="4"/>
      <c r="BW2" s="4" t="s">
        <v>1</v>
      </c>
      <c r="BX2" s="4" t="s">
        <v>47</v>
      </c>
      <c r="BY2" s="4" t="s">
        <v>3</v>
      </c>
      <c r="BZ2" s="4"/>
      <c r="CA2" s="4" t="s">
        <v>48</v>
      </c>
      <c r="CB2" s="4"/>
      <c r="CC2" s="4"/>
      <c r="CD2" s="11" t="s">
        <v>9</v>
      </c>
      <c r="CE2" s="11" t="s">
        <v>9</v>
      </c>
    </row>
    <row r="3" spans="1:83" s="11" customFormat="1" ht="43" thickTop="1">
      <c r="A3" s="5" t="s">
        <v>26</v>
      </c>
      <c r="B3" s="4"/>
      <c r="D3" s="15" t="s">
        <v>17</v>
      </c>
      <c r="E3" s="4" t="s">
        <v>16</v>
      </c>
      <c r="F3" s="14" t="s">
        <v>53</v>
      </c>
      <c r="G3" s="23" t="s">
        <v>63</v>
      </c>
      <c r="H3" s="13" t="s">
        <v>56</v>
      </c>
      <c r="I3" s="13" t="s">
        <v>57</v>
      </c>
      <c r="J3" s="13" t="s">
        <v>55</v>
      </c>
      <c r="K3" s="13" t="s">
        <v>24</v>
      </c>
      <c r="L3" s="14" t="s">
        <v>90</v>
      </c>
      <c r="M3" s="23" t="s">
        <v>88</v>
      </c>
      <c r="N3" s="14" t="s">
        <v>68</v>
      </c>
      <c r="O3" s="23" t="s">
        <v>89</v>
      </c>
      <c r="P3" s="13" t="s">
        <v>35</v>
      </c>
      <c r="Q3" s="13" t="s">
        <v>65</v>
      </c>
      <c r="R3" s="13" t="s">
        <v>54</v>
      </c>
      <c r="S3" s="14" t="s">
        <v>36</v>
      </c>
      <c r="T3" s="23" t="s">
        <v>64</v>
      </c>
      <c r="U3" s="24" t="s">
        <v>77</v>
      </c>
      <c r="V3" s="38" t="s">
        <v>81</v>
      </c>
      <c r="W3" s="23" t="s">
        <v>87</v>
      </c>
      <c r="Y3" s="3" t="s">
        <v>17</v>
      </c>
      <c r="Z3" s="4">
        <v>2013</v>
      </c>
      <c r="AA3" s="4">
        <v>2014</v>
      </c>
      <c r="AB3" s="4">
        <v>2015</v>
      </c>
      <c r="AC3" s="4"/>
      <c r="AD3" s="4">
        <v>2015</v>
      </c>
      <c r="AE3" s="4"/>
      <c r="AF3" s="4"/>
      <c r="AG3" s="4">
        <v>2013</v>
      </c>
      <c r="AH3" s="4">
        <v>2014</v>
      </c>
      <c r="AI3" s="4">
        <v>2015</v>
      </c>
      <c r="AJ3" s="4"/>
      <c r="AK3" s="4">
        <v>2013</v>
      </c>
      <c r="AL3" s="4">
        <v>2014</v>
      </c>
      <c r="AM3" s="4">
        <v>2015</v>
      </c>
      <c r="AN3" s="4"/>
      <c r="AO3" s="4">
        <v>2013</v>
      </c>
      <c r="AP3" s="4">
        <v>2014</v>
      </c>
      <c r="AQ3" s="4">
        <v>2015</v>
      </c>
      <c r="AR3" s="4"/>
      <c r="AS3" s="4">
        <v>2013</v>
      </c>
      <c r="AT3" s="4">
        <v>2014</v>
      </c>
      <c r="AU3" s="4"/>
      <c r="AV3" s="4">
        <v>2013</v>
      </c>
      <c r="AW3" s="4">
        <v>2014</v>
      </c>
      <c r="AX3" s="4">
        <v>2015</v>
      </c>
      <c r="AY3" s="4"/>
      <c r="AZ3" s="4">
        <v>2013</v>
      </c>
      <c r="BA3" s="4">
        <v>2014</v>
      </c>
      <c r="BB3" s="4"/>
      <c r="BC3" s="4"/>
      <c r="BD3" s="4">
        <v>2013</v>
      </c>
      <c r="BE3" s="4">
        <v>2014</v>
      </c>
      <c r="BF3" s="4">
        <v>2015</v>
      </c>
      <c r="BG3" s="4"/>
      <c r="BH3" s="4">
        <v>2014</v>
      </c>
      <c r="BI3" s="4">
        <v>2015</v>
      </c>
      <c r="BJ3" s="4"/>
      <c r="BK3" s="4"/>
      <c r="BL3" s="4">
        <v>2015</v>
      </c>
      <c r="BM3" s="4"/>
      <c r="BN3" s="4">
        <v>2014</v>
      </c>
      <c r="BO3" s="4">
        <v>2015</v>
      </c>
      <c r="BP3" s="4"/>
      <c r="BQ3" s="4"/>
      <c r="BR3" s="4">
        <v>2015</v>
      </c>
      <c r="BS3" s="4"/>
      <c r="BT3" s="4">
        <v>2015</v>
      </c>
      <c r="BU3" s="4"/>
      <c r="BV3" s="4"/>
      <c r="BW3" s="4">
        <v>2015</v>
      </c>
      <c r="BX3" s="4"/>
      <c r="BY3" s="4">
        <v>2014</v>
      </c>
      <c r="BZ3" s="4">
        <v>2015</v>
      </c>
      <c r="CA3" s="4"/>
      <c r="CB3" s="4"/>
      <c r="CC3" s="4"/>
      <c r="CD3" s="11">
        <v>2015</v>
      </c>
      <c r="CE3" s="11" t="s">
        <v>79</v>
      </c>
    </row>
    <row r="4" spans="1:83">
      <c r="A4" s="4" t="s">
        <v>27</v>
      </c>
      <c r="B4" s="17">
        <v>71</v>
      </c>
      <c r="D4" s="2">
        <v>41533</v>
      </c>
      <c r="E4" s="11">
        <f>CC4</f>
        <v>306494.54999999993</v>
      </c>
      <c r="F4" s="4">
        <f>BC4</f>
        <v>228552.15</v>
      </c>
      <c r="G4" s="4">
        <f t="shared" ref="G4:G35" si="0">F4/E4</f>
        <v>0.74569727259424368</v>
      </c>
      <c r="H4" s="4">
        <f t="shared" ref="H4:H67" si="1">AC4-AA4-Z4-CD4</f>
        <v>0</v>
      </c>
      <c r="I4" s="4">
        <f t="shared" ref="I4:I67" si="2">BG4-BE4-BD4-CE4</f>
        <v>0</v>
      </c>
      <c r="J4">
        <f>SUM(H4:I4)</f>
        <v>0</v>
      </c>
      <c r="K4" s="4">
        <f>SUM(AE4,BJ4)</f>
        <v>0</v>
      </c>
      <c r="L4" s="4">
        <f>SUM(J4:K4)</f>
        <v>0</v>
      </c>
      <c r="M4" s="4">
        <f t="shared" ref="M4:M35" si="3">L4/E4</f>
        <v>0</v>
      </c>
      <c r="N4">
        <f>SUM(BQ4,BV4,CB4)</f>
        <v>0</v>
      </c>
      <c r="O4">
        <f t="shared" ref="O4:O35" si="4">N4/E4</f>
        <v>0</v>
      </c>
      <c r="P4">
        <f>SUM(F4,N4)</f>
        <v>228552.15</v>
      </c>
      <c r="Q4">
        <f t="shared" ref="Q4:Q35" si="5">P4/E4</f>
        <v>0.74569727259424368</v>
      </c>
      <c r="T4" s="4"/>
      <c r="U4" s="11">
        <f t="shared" ref="U4:U68" si="6">E4-(F4+L4+N4)</f>
        <v>77942.399999999936</v>
      </c>
      <c r="V4" s="11">
        <f>U4/E4</f>
        <v>0.25430272740575632</v>
      </c>
      <c r="Y4" s="3">
        <v>41533</v>
      </c>
      <c r="Z4" s="4">
        <v>11468.07</v>
      </c>
      <c r="AA4" s="4"/>
      <c r="AB4" s="4"/>
      <c r="AC4" s="4">
        <v>11468.07</v>
      </c>
      <c r="AD4" s="4"/>
      <c r="AE4" s="4"/>
      <c r="AF4" s="4">
        <v>11468.07</v>
      </c>
      <c r="AG4" s="4">
        <v>90901.75</v>
      </c>
      <c r="AH4" s="4"/>
      <c r="AI4" s="4"/>
      <c r="AJ4" s="4">
        <v>90901.75</v>
      </c>
      <c r="AK4" s="4">
        <v>85062.03</v>
      </c>
      <c r="AL4" s="4"/>
      <c r="AM4" s="4"/>
      <c r="AN4" s="4">
        <v>85062.03</v>
      </c>
      <c r="AO4" s="4">
        <v>35111.730000000003</v>
      </c>
      <c r="AP4" s="4"/>
      <c r="AQ4" s="4"/>
      <c r="AR4" s="4">
        <v>35111.730000000003</v>
      </c>
      <c r="AS4" s="4">
        <v>887.18</v>
      </c>
      <c r="AT4" s="4"/>
      <c r="AU4" s="4">
        <v>887.18</v>
      </c>
      <c r="AV4" s="4">
        <v>16589.46</v>
      </c>
      <c r="AW4" s="4"/>
      <c r="AX4" s="4"/>
      <c r="AY4" s="4">
        <v>16589.46</v>
      </c>
      <c r="AZ4" s="4"/>
      <c r="BA4" s="4"/>
      <c r="BB4" s="4"/>
      <c r="BC4" s="4">
        <v>228552.15</v>
      </c>
      <c r="BD4" s="4">
        <v>8774.2800000000007</v>
      </c>
      <c r="BE4" s="4"/>
      <c r="BF4" s="4"/>
      <c r="BG4" s="4">
        <v>8774.2800000000007</v>
      </c>
      <c r="BH4" s="4"/>
      <c r="BI4" s="4"/>
      <c r="BJ4" s="4"/>
      <c r="BK4" s="4">
        <v>8774.2800000000007</v>
      </c>
      <c r="BL4" s="4"/>
      <c r="BM4" s="4"/>
      <c r="BN4" s="4"/>
      <c r="BO4" s="4"/>
      <c r="BP4" s="4"/>
      <c r="BQ4" s="4"/>
      <c r="BR4" s="4"/>
      <c r="BS4" s="4"/>
      <c r="BT4" s="4"/>
      <c r="BU4" s="4"/>
      <c r="BV4" s="4"/>
      <c r="BW4" s="4"/>
      <c r="BX4" s="4"/>
      <c r="BY4" s="4"/>
      <c r="BZ4" s="4"/>
      <c r="CA4" s="4"/>
      <c r="CB4" s="4"/>
      <c r="CC4" s="4">
        <v>306494.54999999993</v>
      </c>
      <c r="CD4" s="1"/>
      <c r="CE4" s="1"/>
    </row>
    <row r="5" spans="1:83">
      <c r="A5" s="4" t="s">
        <v>28</v>
      </c>
      <c r="B5" s="17">
        <v>71</v>
      </c>
      <c r="C5" s="17"/>
      <c r="D5" s="2">
        <v>41540</v>
      </c>
      <c r="E5" s="11">
        <f t="shared" ref="E5:E68" si="7">CC5</f>
        <v>1498156.6300000006</v>
      </c>
      <c r="F5" s="4">
        <f t="shared" ref="F5:F68" si="8">BC5</f>
        <v>1106146.0799999998</v>
      </c>
      <c r="G5" s="4">
        <f t="shared" si="0"/>
        <v>0.73833807350303515</v>
      </c>
      <c r="H5" s="4">
        <f t="shared" si="1"/>
        <v>0</v>
      </c>
      <c r="I5" s="4">
        <f t="shared" si="2"/>
        <v>0</v>
      </c>
      <c r="J5" s="4">
        <f t="shared" ref="J5:J68" si="9">SUM(H5:I5)</f>
        <v>0</v>
      </c>
      <c r="K5" s="4">
        <f t="shared" ref="K5:K68" si="10">SUM(AE5,BJ5)</f>
        <v>0</v>
      </c>
      <c r="L5" s="4">
        <f t="shared" ref="L5:L68" si="11">SUM(J5:K5)</f>
        <v>0</v>
      </c>
      <c r="M5" s="4">
        <f t="shared" si="3"/>
        <v>0</v>
      </c>
      <c r="N5" s="4">
        <f t="shared" ref="N5:N68" si="12">SUM(BQ5,BV5,CB5)</f>
        <v>0</v>
      </c>
      <c r="O5" s="4">
        <f t="shared" si="4"/>
        <v>0</v>
      </c>
      <c r="P5" s="4">
        <f t="shared" ref="P5:P68" si="13">SUM(F5,N5)</f>
        <v>1106146.0799999998</v>
      </c>
      <c r="Q5" s="4">
        <f t="shared" si="5"/>
        <v>0.73833807350303515</v>
      </c>
      <c r="R5">
        <v>1</v>
      </c>
      <c r="S5" s="4">
        <f t="shared" ref="S5:S36" si="14">E5*T5</f>
        <v>1084394.6382722605</v>
      </c>
      <c r="T5" s="4">
        <f t="shared" ref="T5:T36" si="15">$B$9+$B$10*R5</f>
        <v>0.72381927000000001</v>
      </c>
      <c r="U5" s="11">
        <f t="shared" si="6"/>
        <v>392010.55000000075</v>
      </c>
      <c r="V5" s="11">
        <f t="shared" ref="V5:V68" si="16">U5/E5</f>
        <v>0.26166192649696485</v>
      </c>
      <c r="W5" s="11">
        <f>1-T5</f>
        <v>0.27618072999999999</v>
      </c>
      <c r="Y5" s="3">
        <v>41540</v>
      </c>
      <c r="Z5" s="4">
        <v>57336.57</v>
      </c>
      <c r="AA5" s="4"/>
      <c r="AB5" s="4"/>
      <c r="AC5" s="4">
        <v>57336.57</v>
      </c>
      <c r="AD5" s="4"/>
      <c r="AE5" s="4"/>
      <c r="AF5" s="4">
        <v>57336.57</v>
      </c>
      <c r="AG5" s="4">
        <v>435589.05</v>
      </c>
      <c r="AH5" s="4"/>
      <c r="AI5" s="4"/>
      <c r="AJ5" s="4">
        <v>435589.05</v>
      </c>
      <c r="AK5" s="4">
        <v>382956.1</v>
      </c>
      <c r="AL5" s="4"/>
      <c r="AM5" s="4"/>
      <c r="AN5" s="4">
        <v>382956.1</v>
      </c>
      <c r="AO5" s="4">
        <v>198436.76</v>
      </c>
      <c r="AP5" s="4"/>
      <c r="AQ5" s="4"/>
      <c r="AR5" s="4">
        <v>198436.76</v>
      </c>
      <c r="AS5" s="4">
        <v>4731.2</v>
      </c>
      <c r="AT5" s="4"/>
      <c r="AU5" s="4">
        <v>4731.2</v>
      </c>
      <c r="AV5" s="4">
        <v>84432.97</v>
      </c>
      <c r="AW5" s="4"/>
      <c r="AX5" s="4"/>
      <c r="AY5" s="4">
        <v>84432.97</v>
      </c>
      <c r="AZ5" s="4"/>
      <c r="BA5" s="4"/>
      <c r="BB5" s="4"/>
      <c r="BC5" s="4">
        <v>1106146.0799999998</v>
      </c>
      <c r="BD5" s="4">
        <v>43404.31</v>
      </c>
      <c r="BE5" s="4"/>
      <c r="BF5" s="4"/>
      <c r="BG5" s="4">
        <v>43404.31</v>
      </c>
      <c r="BH5" s="4"/>
      <c r="BI5" s="4"/>
      <c r="BJ5" s="4"/>
      <c r="BK5" s="4">
        <v>43404.31</v>
      </c>
      <c r="BL5" s="4"/>
      <c r="BM5" s="4"/>
      <c r="BN5" s="4"/>
      <c r="BO5" s="4"/>
      <c r="BP5" s="4"/>
      <c r="BQ5" s="4"/>
      <c r="BR5" s="4"/>
      <c r="BS5" s="4"/>
      <c r="BT5" s="4"/>
      <c r="BU5" s="4"/>
      <c r="BV5" s="4"/>
      <c r="BW5" s="4"/>
      <c r="BX5" s="4"/>
      <c r="BY5" s="4"/>
      <c r="BZ5" s="4"/>
      <c r="CA5" s="4"/>
      <c r="CB5" s="4"/>
      <c r="CC5" s="4">
        <v>1498156.6300000006</v>
      </c>
      <c r="CD5" s="1"/>
      <c r="CE5" s="1"/>
    </row>
    <row r="6" spans="1:83">
      <c r="A6" s="4" t="s">
        <v>29</v>
      </c>
      <c r="B6" s="17">
        <v>44.86</v>
      </c>
      <c r="C6" s="17"/>
      <c r="D6" s="2">
        <v>41547</v>
      </c>
      <c r="E6" s="11">
        <f t="shared" si="7"/>
        <v>1374390.4300000002</v>
      </c>
      <c r="F6" s="4">
        <f t="shared" si="8"/>
        <v>998985.8</v>
      </c>
      <c r="G6" s="4">
        <f t="shared" si="0"/>
        <v>0.72685736032082227</v>
      </c>
      <c r="H6" s="4">
        <f t="shared" si="1"/>
        <v>0</v>
      </c>
      <c r="I6" s="4">
        <f t="shared" si="2"/>
        <v>0</v>
      </c>
      <c r="J6" s="4">
        <f t="shared" si="9"/>
        <v>0</v>
      </c>
      <c r="K6" s="4">
        <f t="shared" si="10"/>
        <v>0</v>
      </c>
      <c r="L6" s="4">
        <f t="shared" si="11"/>
        <v>0</v>
      </c>
      <c r="M6" s="4">
        <f t="shared" si="3"/>
        <v>0</v>
      </c>
      <c r="N6" s="4">
        <f t="shared" si="12"/>
        <v>0</v>
      </c>
      <c r="O6" s="4">
        <f t="shared" si="4"/>
        <v>0</v>
      </c>
      <c r="P6" s="4">
        <f t="shared" si="13"/>
        <v>998985.8</v>
      </c>
      <c r="Q6" s="4">
        <f t="shared" si="5"/>
        <v>0.72685736032082227</v>
      </c>
      <c r="R6">
        <v>2</v>
      </c>
      <c r="S6" s="4">
        <f t="shared" si="14"/>
        <v>995276.5671787723</v>
      </c>
      <c r="T6" s="4">
        <f t="shared" si="15"/>
        <v>0.72415854000000002</v>
      </c>
      <c r="U6" s="11">
        <f t="shared" si="6"/>
        <v>375404.63000000012</v>
      </c>
      <c r="V6" s="11">
        <f t="shared" si="16"/>
        <v>0.27314263967917768</v>
      </c>
      <c r="W6" s="11">
        <f t="shared" ref="W6:W69" si="17">1-T6</f>
        <v>0.27584145999999998</v>
      </c>
      <c r="Y6" s="3">
        <v>41547</v>
      </c>
      <c r="Z6" s="4">
        <v>53486.5</v>
      </c>
      <c r="AA6" s="4"/>
      <c r="AB6" s="4"/>
      <c r="AC6" s="4">
        <v>53486.5</v>
      </c>
      <c r="AD6" s="4"/>
      <c r="AE6" s="4"/>
      <c r="AF6" s="4">
        <v>53486.5</v>
      </c>
      <c r="AG6" s="4">
        <v>398199</v>
      </c>
      <c r="AH6" s="4"/>
      <c r="AI6" s="4"/>
      <c r="AJ6" s="4">
        <v>398199</v>
      </c>
      <c r="AK6" s="4">
        <v>332968.07</v>
      </c>
      <c r="AL6" s="4"/>
      <c r="AM6" s="4"/>
      <c r="AN6" s="4">
        <v>332968.07</v>
      </c>
      <c r="AO6" s="4">
        <v>180734.6</v>
      </c>
      <c r="AP6" s="4"/>
      <c r="AQ6" s="4"/>
      <c r="AR6" s="4">
        <v>180734.6</v>
      </c>
      <c r="AS6" s="4">
        <v>4641.68</v>
      </c>
      <c r="AT6" s="4"/>
      <c r="AU6" s="4">
        <v>4641.68</v>
      </c>
      <c r="AV6" s="4">
        <v>82442.45</v>
      </c>
      <c r="AW6" s="4"/>
      <c r="AX6" s="4"/>
      <c r="AY6" s="4">
        <v>82442.45</v>
      </c>
      <c r="AZ6" s="4"/>
      <c r="BA6" s="4"/>
      <c r="BB6" s="4"/>
      <c r="BC6" s="4">
        <v>998985.8</v>
      </c>
      <c r="BD6" s="4">
        <v>41507.25</v>
      </c>
      <c r="BE6" s="4"/>
      <c r="BF6" s="4"/>
      <c r="BG6" s="4">
        <v>41507.25</v>
      </c>
      <c r="BH6" s="4"/>
      <c r="BI6" s="4"/>
      <c r="BJ6" s="4"/>
      <c r="BK6" s="4">
        <v>41507.25</v>
      </c>
      <c r="BL6" s="4"/>
      <c r="BM6" s="4"/>
      <c r="BN6" s="4"/>
      <c r="BO6" s="4"/>
      <c r="BP6" s="4"/>
      <c r="BQ6" s="4"/>
      <c r="BR6" s="4"/>
      <c r="BS6" s="4"/>
      <c r="BT6" s="4"/>
      <c r="BU6" s="4"/>
      <c r="BV6" s="4"/>
      <c r="BW6" s="4"/>
      <c r="BX6" s="4"/>
      <c r="BY6" s="4"/>
      <c r="BZ6" s="4"/>
      <c r="CA6" s="4"/>
      <c r="CB6" s="4"/>
      <c r="CC6" s="4">
        <v>1374390.4300000002</v>
      </c>
      <c r="CD6" s="1"/>
      <c r="CE6" s="1"/>
    </row>
    <row r="7" spans="1:83">
      <c r="A7" s="4" t="s">
        <v>30</v>
      </c>
      <c r="B7" s="17" t="s">
        <v>31</v>
      </c>
      <c r="C7" s="17"/>
      <c r="D7" s="2">
        <v>41554</v>
      </c>
      <c r="E7" s="11">
        <f t="shared" si="7"/>
        <v>1393174.6099999996</v>
      </c>
      <c r="F7" s="4">
        <f t="shared" si="8"/>
        <v>1008957.99</v>
      </c>
      <c r="G7" s="4">
        <f t="shared" si="0"/>
        <v>0.7242150285813781</v>
      </c>
      <c r="H7" s="4">
        <f t="shared" si="1"/>
        <v>0</v>
      </c>
      <c r="I7" s="4">
        <f t="shared" si="2"/>
        <v>0</v>
      </c>
      <c r="J7" s="4">
        <f t="shared" si="9"/>
        <v>0</v>
      </c>
      <c r="K7" s="4">
        <f t="shared" si="10"/>
        <v>0</v>
      </c>
      <c r="L7" s="4">
        <f t="shared" si="11"/>
        <v>0</v>
      </c>
      <c r="M7" s="4">
        <f t="shared" si="3"/>
        <v>0</v>
      </c>
      <c r="N7" s="4">
        <f t="shared" si="12"/>
        <v>0</v>
      </c>
      <c r="O7" s="4">
        <f t="shared" si="4"/>
        <v>0</v>
      </c>
      <c r="P7" s="4">
        <f t="shared" si="13"/>
        <v>1008957.99</v>
      </c>
      <c r="Q7" s="4">
        <f t="shared" si="5"/>
        <v>0.7242150285813781</v>
      </c>
      <c r="R7">
        <v>3</v>
      </c>
      <c r="S7" s="4">
        <f t="shared" si="14"/>
        <v>1009351.9538926039</v>
      </c>
      <c r="T7" s="4">
        <f t="shared" si="15"/>
        <v>0.72449781000000002</v>
      </c>
      <c r="U7" s="11">
        <f t="shared" si="6"/>
        <v>384216.61999999965</v>
      </c>
      <c r="V7" s="11">
        <f t="shared" si="16"/>
        <v>0.2757849714186219</v>
      </c>
      <c r="W7" s="11">
        <f t="shared" si="17"/>
        <v>0.27550218999999998</v>
      </c>
      <c r="Y7" s="3">
        <v>41554</v>
      </c>
      <c r="Z7" s="4">
        <v>56314.85</v>
      </c>
      <c r="AA7" s="4"/>
      <c r="AB7" s="4"/>
      <c r="AC7" s="4">
        <v>56314.85</v>
      </c>
      <c r="AD7" s="4"/>
      <c r="AE7" s="4"/>
      <c r="AF7" s="4">
        <v>56314.85</v>
      </c>
      <c r="AG7" s="4">
        <v>420335.35</v>
      </c>
      <c r="AH7" s="4"/>
      <c r="AI7" s="4"/>
      <c r="AJ7" s="4">
        <v>420335.35</v>
      </c>
      <c r="AK7" s="4">
        <v>323869.48</v>
      </c>
      <c r="AL7" s="4"/>
      <c r="AM7" s="4"/>
      <c r="AN7" s="4">
        <v>323869.48</v>
      </c>
      <c r="AO7" s="4">
        <v>176371.36</v>
      </c>
      <c r="AP7" s="4"/>
      <c r="AQ7" s="4"/>
      <c r="AR7" s="4">
        <v>176371.36</v>
      </c>
      <c r="AS7" s="4">
        <v>4657.53</v>
      </c>
      <c r="AT7" s="4"/>
      <c r="AU7" s="4">
        <v>4657.53</v>
      </c>
      <c r="AV7" s="4">
        <v>83724.27</v>
      </c>
      <c r="AW7" s="4"/>
      <c r="AX7" s="4"/>
      <c r="AY7" s="4">
        <v>83724.27</v>
      </c>
      <c r="AZ7" s="4"/>
      <c r="BA7" s="4"/>
      <c r="BB7" s="4"/>
      <c r="BC7" s="4">
        <v>1008957.99</v>
      </c>
      <c r="BD7" s="4">
        <v>42815.63</v>
      </c>
      <c r="BE7" s="4"/>
      <c r="BF7" s="4"/>
      <c r="BG7" s="4">
        <v>42815.63</v>
      </c>
      <c r="BH7" s="4"/>
      <c r="BI7" s="4"/>
      <c r="BJ7" s="4"/>
      <c r="BK7" s="4">
        <v>42815.63</v>
      </c>
      <c r="BL7" s="4"/>
      <c r="BM7" s="4"/>
      <c r="BN7" s="4"/>
      <c r="BO7" s="4"/>
      <c r="BP7" s="4"/>
      <c r="BQ7" s="4"/>
      <c r="BR7" s="4"/>
      <c r="BS7" s="4"/>
      <c r="BT7" s="4"/>
      <c r="BU7" s="4"/>
      <c r="BV7" s="4"/>
      <c r="BW7" s="4"/>
      <c r="BX7" s="4"/>
      <c r="BY7" s="4"/>
      <c r="BZ7" s="4"/>
      <c r="CA7" s="4"/>
      <c r="CB7" s="4"/>
      <c r="CC7" s="4">
        <v>1393174.6099999996</v>
      </c>
      <c r="CD7" s="1"/>
      <c r="CE7" s="1"/>
    </row>
    <row r="8" spans="1:83">
      <c r="A8" s="4" t="s">
        <v>32</v>
      </c>
      <c r="B8" s="17">
        <v>0.39400000000000002</v>
      </c>
      <c r="C8" s="17"/>
      <c r="D8" s="2">
        <v>41561</v>
      </c>
      <c r="E8" s="11">
        <f t="shared" si="7"/>
        <v>1384670.7499999998</v>
      </c>
      <c r="F8" s="4">
        <f t="shared" si="8"/>
        <v>1008172.02</v>
      </c>
      <c r="G8" s="4">
        <f t="shared" si="0"/>
        <v>0.72809512297418011</v>
      </c>
      <c r="H8" s="4">
        <f t="shared" si="1"/>
        <v>0</v>
      </c>
      <c r="I8" s="4">
        <f t="shared" si="2"/>
        <v>0</v>
      </c>
      <c r="J8" s="4">
        <f t="shared" si="9"/>
        <v>0</v>
      </c>
      <c r="K8" s="4">
        <f t="shared" si="10"/>
        <v>0</v>
      </c>
      <c r="L8" s="4">
        <f t="shared" si="11"/>
        <v>0</v>
      </c>
      <c r="M8" s="4">
        <f t="shared" si="3"/>
        <v>0</v>
      </c>
      <c r="N8" s="4">
        <f t="shared" si="12"/>
        <v>0</v>
      </c>
      <c r="O8" s="4">
        <f t="shared" si="4"/>
        <v>0</v>
      </c>
      <c r="P8" s="4">
        <f t="shared" si="13"/>
        <v>1008172.02</v>
      </c>
      <c r="Q8" s="4">
        <f t="shared" si="5"/>
        <v>0.72809512297418011</v>
      </c>
      <c r="R8" s="4">
        <v>4</v>
      </c>
      <c r="S8" s="4">
        <f t="shared" si="14"/>
        <v>1003660.7031914098</v>
      </c>
      <c r="T8" s="4">
        <f t="shared" si="15"/>
        <v>0.72483708000000002</v>
      </c>
      <c r="U8" s="11">
        <f t="shared" si="6"/>
        <v>376498.72999999975</v>
      </c>
      <c r="V8" s="11">
        <f t="shared" si="16"/>
        <v>0.27190487702581989</v>
      </c>
      <c r="W8" s="11">
        <f t="shared" si="17"/>
        <v>0.27516291999999998</v>
      </c>
      <c r="Y8" s="3">
        <v>41561</v>
      </c>
      <c r="Z8" s="4">
        <v>55820.28</v>
      </c>
      <c r="AA8" s="4"/>
      <c r="AB8" s="4"/>
      <c r="AC8" s="4">
        <v>55820.28</v>
      </c>
      <c r="AD8" s="4"/>
      <c r="AE8" s="4"/>
      <c r="AF8" s="4">
        <v>55820.28</v>
      </c>
      <c r="AG8" s="4">
        <v>427065.38</v>
      </c>
      <c r="AH8" s="4"/>
      <c r="AI8" s="4"/>
      <c r="AJ8" s="4">
        <v>427065.38</v>
      </c>
      <c r="AK8" s="4">
        <v>322356.40999999997</v>
      </c>
      <c r="AL8" s="4"/>
      <c r="AM8" s="4"/>
      <c r="AN8" s="4">
        <v>322356.40999999997</v>
      </c>
      <c r="AO8" s="4">
        <v>169669.35</v>
      </c>
      <c r="AP8" s="4"/>
      <c r="AQ8" s="4"/>
      <c r="AR8" s="4">
        <v>169669.35</v>
      </c>
      <c r="AS8" s="4">
        <v>4798.3900000000003</v>
      </c>
      <c r="AT8" s="4"/>
      <c r="AU8" s="4">
        <v>4798.3900000000003</v>
      </c>
      <c r="AV8" s="4">
        <v>84282.49</v>
      </c>
      <c r="AW8" s="4"/>
      <c r="AX8" s="4"/>
      <c r="AY8" s="4">
        <v>84282.49</v>
      </c>
      <c r="AZ8" s="4"/>
      <c r="BA8" s="4"/>
      <c r="BB8" s="4"/>
      <c r="BC8" s="4">
        <v>1008172.02</v>
      </c>
      <c r="BD8" s="4">
        <v>41661.15</v>
      </c>
      <c r="BE8" s="4"/>
      <c r="BF8" s="4"/>
      <c r="BG8" s="4">
        <v>41661.15</v>
      </c>
      <c r="BH8" s="4"/>
      <c r="BI8" s="4"/>
      <c r="BJ8" s="4"/>
      <c r="BK8" s="4">
        <v>41661.15</v>
      </c>
      <c r="BL8" s="4"/>
      <c r="BM8" s="4"/>
      <c r="BN8" s="4"/>
      <c r="BO8" s="4"/>
      <c r="BP8" s="4"/>
      <c r="BQ8" s="4"/>
      <c r="BR8" s="4"/>
      <c r="BS8" s="4"/>
      <c r="BT8" s="4"/>
      <c r="BU8" s="4"/>
      <c r="BV8" s="4"/>
      <c r="BW8" s="4"/>
      <c r="BX8" s="4"/>
      <c r="BY8" s="4"/>
      <c r="BZ8" s="4"/>
      <c r="CA8" s="4"/>
      <c r="CB8" s="4"/>
      <c r="CC8" s="4">
        <v>1384670.7499999998</v>
      </c>
      <c r="CD8" s="1"/>
      <c r="CE8" s="1"/>
    </row>
    <row r="9" spans="1:83">
      <c r="A9" s="18" t="s">
        <v>33</v>
      </c>
      <c r="B9" s="19">
        <v>0.72348000000000001</v>
      </c>
      <c r="C9" s="17"/>
      <c r="D9" s="2">
        <v>41568</v>
      </c>
      <c r="E9" s="11">
        <f t="shared" si="7"/>
        <v>1425776.3799999997</v>
      </c>
      <c r="F9" s="4">
        <f t="shared" si="8"/>
        <v>1037847.4</v>
      </c>
      <c r="G9" s="4">
        <f t="shared" si="0"/>
        <v>0.72791737509356147</v>
      </c>
      <c r="H9" s="4">
        <f t="shared" si="1"/>
        <v>0</v>
      </c>
      <c r="I9" s="4">
        <f t="shared" si="2"/>
        <v>0</v>
      </c>
      <c r="J9" s="4">
        <f t="shared" si="9"/>
        <v>0</v>
      </c>
      <c r="K9" s="4">
        <f t="shared" si="10"/>
        <v>0</v>
      </c>
      <c r="L9" s="4">
        <f t="shared" si="11"/>
        <v>0</v>
      </c>
      <c r="M9" s="4">
        <f t="shared" si="3"/>
        <v>0</v>
      </c>
      <c r="N9" s="4">
        <f t="shared" si="12"/>
        <v>0</v>
      </c>
      <c r="O9" s="4">
        <f t="shared" si="4"/>
        <v>0</v>
      </c>
      <c r="P9" s="4">
        <f t="shared" si="13"/>
        <v>1037847.4</v>
      </c>
      <c r="Q9" s="4">
        <f t="shared" si="5"/>
        <v>0.72791737509356147</v>
      </c>
      <c r="R9" s="4">
        <v>5</v>
      </c>
      <c r="S9" s="4">
        <f t="shared" si="14"/>
        <v>1033939.3111646128</v>
      </c>
      <c r="T9" s="4">
        <f t="shared" si="15"/>
        <v>0.72517635000000003</v>
      </c>
      <c r="U9" s="11">
        <f t="shared" si="6"/>
        <v>387928.97999999963</v>
      </c>
      <c r="V9" s="11">
        <f t="shared" si="16"/>
        <v>0.27208262490643847</v>
      </c>
      <c r="W9" s="11">
        <f t="shared" si="17"/>
        <v>0.27482364999999997</v>
      </c>
      <c r="Y9" s="3">
        <v>41568</v>
      </c>
      <c r="Z9" s="4">
        <v>55864.45</v>
      </c>
      <c r="AA9" s="4"/>
      <c r="AB9" s="4"/>
      <c r="AC9" s="4">
        <v>55864.45</v>
      </c>
      <c r="AD9" s="4"/>
      <c r="AE9" s="4"/>
      <c r="AF9" s="4">
        <v>55864.45</v>
      </c>
      <c r="AG9" s="4">
        <v>435034.56</v>
      </c>
      <c r="AH9" s="4"/>
      <c r="AI9" s="4"/>
      <c r="AJ9" s="4">
        <v>435034.56</v>
      </c>
      <c r="AK9" s="4">
        <v>348251.7</v>
      </c>
      <c r="AL9" s="4"/>
      <c r="AM9" s="4"/>
      <c r="AN9" s="4">
        <v>348251.7</v>
      </c>
      <c r="AO9" s="4">
        <v>166028.14000000001</v>
      </c>
      <c r="AP9" s="4"/>
      <c r="AQ9" s="4"/>
      <c r="AR9" s="4">
        <v>166028.14000000001</v>
      </c>
      <c r="AS9" s="4">
        <v>4872.12</v>
      </c>
      <c r="AT9" s="4"/>
      <c r="AU9" s="4">
        <v>4872.12</v>
      </c>
      <c r="AV9" s="4">
        <v>83660.88</v>
      </c>
      <c r="AW9" s="4"/>
      <c r="AX9" s="4"/>
      <c r="AY9" s="4">
        <v>83660.88</v>
      </c>
      <c r="AZ9" s="4"/>
      <c r="BA9" s="4"/>
      <c r="BB9" s="4"/>
      <c r="BC9" s="4">
        <v>1037847.4</v>
      </c>
      <c r="BD9" s="4">
        <v>42366.25</v>
      </c>
      <c r="BE9" s="4"/>
      <c r="BF9" s="4"/>
      <c r="BG9" s="4">
        <v>42366.25</v>
      </c>
      <c r="BH9" s="4"/>
      <c r="BI9" s="4"/>
      <c r="BJ9" s="4"/>
      <c r="BK9" s="4">
        <v>42366.25</v>
      </c>
      <c r="BL9" s="4"/>
      <c r="BM9" s="4"/>
      <c r="BN9" s="4"/>
      <c r="BO9" s="4"/>
      <c r="BP9" s="4"/>
      <c r="BQ9" s="4"/>
      <c r="BR9" s="4"/>
      <c r="BS9" s="4"/>
      <c r="BT9" s="4"/>
      <c r="BU9" s="4"/>
      <c r="BV9" s="4"/>
      <c r="BW9" s="4"/>
      <c r="BX9" s="4"/>
      <c r="BY9" s="4"/>
      <c r="BZ9" s="4"/>
      <c r="CA9" s="4"/>
      <c r="CB9" s="4"/>
      <c r="CC9" s="4">
        <v>1425776.3799999997</v>
      </c>
      <c r="CD9" s="1"/>
      <c r="CE9" s="1"/>
    </row>
    <row r="10" spans="1:83">
      <c r="A10" s="18" t="s">
        <v>34</v>
      </c>
      <c r="B10" s="19">
        <v>3.3927000000000002E-4</v>
      </c>
      <c r="D10" s="2">
        <v>41575</v>
      </c>
      <c r="E10" s="11">
        <f t="shared" si="7"/>
        <v>1389363.8600000006</v>
      </c>
      <c r="F10" s="4">
        <f t="shared" si="8"/>
        <v>1006757.8200000001</v>
      </c>
      <c r="G10" s="4">
        <f t="shared" si="0"/>
        <v>0.72461782617549853</v>
      </c>
      <c r="H10" s="4">
        <f t="shared" si="1"/>
        <v>0</v>
      </c>
      <c r="I10" s="4">
        <f t="shared" si="2"/>
        <v>0</v>
      </c>
      <c r="J10" s="4">
        <f t="shared" si="9"/>
        <v>0</v>
      </c>
      <c r="K10" s="4">
        <f t="shared" si="10"/>
        <v>0</v>
      </c>
      <c r="L10" s="4">
        <f t="shared" si="11"/>
        <v>0</v>
      </c>
      <c r="M10" s="4">
        <f t="shared" si="3"/>
        <v>0</v>
      </c>
      <c r="N10" s="4">
        <f t="shared" si="12"/>
        <v>0</v>
      </c>
      <c r="O10" s="4">
        <f t="shared" si="4"/>
        <v>0</v>
      </c>
      <c r="P10" s="4">
        <f t="shared" si="13"/>
        <v>1006757.8200000001</v>
      </c>
      <c r="Q10" s="4">
        <f t="shared" si="5"/>
        <v>0.72461782617549853</v>
      </c>
      <c r="R10" s="4">
        <v>6</v>
      </c>
      <c r="S10" s="4">
        <f t="shared" si="14"/>
        <v>1008005.1822934936</v>
      </c>
      <c r="T10" s="4">
        <f t="shared" si="15"/>
        <v>0.72551562000000003</v>
      </c>
      <c r="U10" s="11">
        <f t="shared" si="6"/>
        <v>382606.0400000005</v>
      </c>
      <c r="V10" s="11">
        <f t="shared" si="16"/>
        <v>0.27538217382450147</v>
      </c>
      <c r="W10" s="11">
        <f t="shared" si="17"/>
        <v>0.27448437999999997</v>
      </c>
      <c r="Y10" s="3">
        <v>41575</v>
      </c>
      <c r="Z10" s="4">
        <v>53882.84</v>
      </c>
      <c r="AA10" s="4"/>
      <c r="AB10" s="4"/>
      <c r="AC10" s="4">
        <v>53882.84</v>
      </c>
      <c r="AD10" s="4"/>
      <c r="AE10" s="4"/>
      <c r="AF10" s="4">
        <v>53882.84</v>
      </c>
      <c r="AG10" s="4">
        <v>412599.38</v>
      </c>
      <c r="AH10" s="4"/>
      <c r="AI10" s="4"/>
      <c r="AJ10" s="4">
        <v>412599.38</v>
      </c>
      <c r="AK10" s="4">
        <v>342726.40000000002</v>
      </c>
      <c r="AL10" s="4"/>
      <c r="AM10" s="4"/>
      <c r="AN10" s="4">
        <v>342726.40000000002</v>
      </c>
      <c r="AO10" s="4">
        <v>164992.13</v>
      </c>
      <c r="AP10" s="4"/>
      <c r="AQ10" s="4"/>
      <c r="AR10" s="4">
        <v>164992.13</v>
      </c>
      <c r="AS10" s="4">
        <v>4431.3</v>
      </c>
      <c r="AT10" s="4"/>
      <c r="AU10" s="4">
        <v>4431.3</v>
      </c>
      <c r="AV10" s="4">
        <v>82008.61</v>
      </c>
      <c r="AW10" s="4"/>
      <c r="AX10" s="4"/>
      <c r="AY10" s="4">
        <v>82008.61</v>
      </c>
      <c r="AZ10" s="4">
        <v>0</v>
      </c>
      <c r="BA10" s="4"/>
      <c r="BB10" s="4">
        <v>0</v>
      </c>
      <c r="BC10" s="4">
        <v>1006757.8200000001</v>
      </c>
      <c r="BD10" s="4">
        <v>41545.08</v>
      </c>
      <c r="BE10" s="4"/>
      <c r="BF10" s="4"/>
      <c r="BG10" s="4">
        <v>41545.08</v>
      </c>
      <c r="BH10" s="4"/>
      <c r="BI10" s="4"/>
      <c r="BJ10" s="4"/>
      <c r="BK10" s="4">
        <v>41545.08</v>
      </c>
      <c r="BL10" s="4"/>
      <c r="BM10" s="4"/>
      <c r="BN10" s="4"/>
      <c r="BO10" s="4"/>
      <c r="BP10" s="4"/>
      <c r="BQ10" s="4"/>
      <c r="BR10" s="4"/>
      <c r="BS10" s="4"/>
      <c r="BT10" s="4"/>
      <c r="BU10" s="4"/>
      <c r="BV10" s="4"/>
      <c r="BW10" s="4"/>
      <c r="BX10" s="4"/>
      <c r="BY10" s="4"/>
      <c r="BZ10" s="4"/>
      <c r="CA10" s="4"/>
      <c r="CB10" s="4"/>
      <c r="CC10" s="4">
        <v>1389363.8600000006</v>
      </c>
      <c r="CD10" s="1"/>
      <c r="CE10" s="1"/>
    </row>
    <row r="11" spans="1:83">
      <c r="A11" s="4"/>
      <c r="B11" s="17"/>
      <c r="D11" s="2">
        <v>41582</v>
      </c>
      <c r="E11" s="11">
        <f t="shared" si="7"/>
        <v>1345275.12</v>
      </c>
      <c r="F11" s="4">
        <f t="shared" si="8"/>
        <v>981103.2300000001</v>
      </c>
      <c r="G11" s="4">
        <f t="shared" si="0"/>
        <v>0.72929560311797037</v>
      </c>
      <c r="H11" s="4">
        <f t="shared" si="1"/>
        <v>0</v>
      </c>
      <c r="I11" s="4">
        <f t="shared" si="2"/>
        <v>0</v>
      </c>
      <c r="J11" s="4">
        <f t="shared" si="9"/>
        <v>0</v>
      </c>
      <c r="K11" s="4">
        <f t="shared" si="10"/>
        <v>0</v>
      </c>
      <c r="L11" s="4">
        <f t="shared" si="11"/>
        <v>0</v>
      </c>
      <c r="M11" s="4">
        <f t="shared" si="3"/>
        <v>0</v>
      </c>
      <c r="N11" s="4">
        <f t="shared" si="12"/>
        <v>0</v>
      </c>
      <c r="O11" s="4">
        <f t="shared" si="4"/>
        <v>0</v>
      </c>
      <c r="P11" s="4">
        <f t="shared" si="13"/>
        <v>981103.2300000001</v>
      </c>
      <c r="Q11" s="4">
        <f t="shared" si="5"/>
        <v>0.72929560311797037</v>
      </c>
      <c r="R11" s="4">
        <v>7</v>
      </c>
      <c r="S11" s="4">
        <f t="shared" si="14"/>
        <v>976474.5242473369</v>
      </c>
      <c r="T11" s="4">
        <f t="shared" si="15"/>
        <v>0.72585489000000003</v>
      </c>
      <c r="U11" s="11">
        <f t="shared" si="6"/>
        <v>364171.89</v>
      </c>
      <c r="V11" s="11">
        <f t="shared" si="16"/>
        <v>0.27070439688202957</v>
      </c>
      <c r="W11" s="11">
        <f t="shared" si="17"/>
        <v>0.27414510999999997</v>
      </c>
      <c r="Y11" s="3">
        <v>41582</v>
      </c>
      <c r="Z11" s="4">
        <v>52884.05</v>
      </c>
      <c r="AA11" s="4"/>
      <c r="AB11" s="4"/>
      <c r="AC11" s="4">
        <v>52884.05</v>
      </c>
      <c r="AD11" s="4"/>
      <c r="AE11" s="4"/>
      <c r="AF11" s="4">
        <v>52884.05</v>
      </c>
      <c r="AG11" s="4">
        <v>415394.94</v>
      </c>
      <c r="AH11" s="4"/>
      <c r="AI11" s="4"/>
      <c r="AJ11" s="4">
        <v>415394.94</v>
      </c>
      <c r="AK11" s="4">
        <v>315182.03999999998</v>
      </c>
      <c r="AL11" s="4"/>
      <c r="AM11" s="4"/>
      <c r="AN11" s="4">
        <v>315182.03999999998</v>
      </c>
      <c r="AO11" s="4">
        <v>166817.57</v>
      </c>
      <c r="AP11" s="4"/>
      <c r="AQ11" s="4"/>
      <c r="AR11" s="4">
        <v>166817.57</v>
      </c>
      <c r="AS11" s="4">
        <v>4358.71</v>
      </c>
      <c r="AT11" s="4"/>
      <c r="AU11" s="4">
        <v>4358.71</v>
      </c>
      <c r="AV11" s="4">
        <v>79350.05</v>
      </c>
      <c r="AW11" s="4"/>
      <c r="AX11" s="4"/>
      <c r="AY11" s="4">
        <v>79350.05</v>
      </c>
      <c r="AZ11" s="4">
        <v>-0.08</v>
      </c>
      <c r="BA11" s="4"/>
      <c r="BB11" s="4">
        <v>-0.08</v>
      </c>
      <c r="BC11" s="4">
        <v>981103.2300000001</v>
      </c>
      <c r="BD11" s="4">
        <v>40677.800000000003</v>
      </c>
      <c r="BE11" s="4"/>
      <c r="BF11" s="4"/>
      <c r="BG11" s="4">
        <v>40677.800000000003</v>
      </c>
      <c r="BH11" s="4"/>
      <c r="BI11" s="4"/>
      <c r="BJ11" s="4"/>
      <c r="BK11" s="4">
        <v>40677.800000000003</v>
      </c>
      <c r="BL11" s="4"/>
      <c r="BM11" s="4"/>
      <c r="BN11" s="4"/>
      <c r="BO11" s="4"/>
      <c r="BP11" s="4"/>
      <c r="BQ11" s="4"/>
      <c r="BR11" s="4"/>
      <c r="BS11" s="4"/>
      <c r="BT11" s="4"/>
      <c r="BU11" s="4"/>
      <c r="BV11" s="4"/>
      <c r="BW11" s="4"/>
      <c r="BX11" s="4"/>
      <c r="BY11" s="4"/>
      <c r="BZ11" s="4"/>
      <c r="CA11" s="4"/>
      <c r="CB11" s="4"/>
      <c r="CC11" s="4">
        <v>1345275.12</v>
      </c>
      <c r="CD11" s="1"/>
      <c r="CE11" s="1"/>
    </row>
    <row r="12" spans="1:83">
      <c r="A12" s="4" t="s">
        <v>39</v>
      </c>
      <c r="B12" s="6">
        <v>1.2189803216864028E-2</v>
      </c>
      <c r="C12" s="17"/>
      <c r="D12" s="2">
        <v>41589</v>
      </c>
      <c r="E12" s="11">
        <f t="shared" si="7"/>
        <v>1336200.03</v>
      </c>
      <c r="F12" s="4">
        <f t="shared" si="8"/>
        <v>970087.27</v>
      </c>
      <c r="G12" s="4">
        <f t="shared" si="0"/>
        <v>0.72600452643306701</v>
      </c>
      <c r="H12" s="4">
        <f t="shared" si="1"/>
        <v>0</v>
      </c>
      <c r="I12" s="4">
        <f t="shared" si="2"/>
        <v>0</v>
      </c>
      <c r="J12" s="4">
        <f t="shared" si="9"/>
        <v>0</v>
      </c>
      <c r="K12" s="4">
        <f t="shared" si="10"/>
        <v>0</v>
      </c>
      <c r="L12" s="4">
        <f t="shared" si="11"/>
        <v>0</v>
      </c>
      <c r="M12" s="4">
        <f t="shared" si="3"/>
        <v>0</v>
      </c>
      <c r="N12" s="4">
        <f t="shared" si="12"/>
        <v>0</v>
      </c>
      <c r="O12" s="4">
        <f t="shared" si="4"/>
        <v>0</v>
      </c>
      <c r="P12" s="4">
        <f t="shared" si="13"/>
        <v>970087.27</v>
      </c>
      <c r="Q12" s="4">
        <f t="shared" si="5"/>
        <v>0.72600452643306701</v>
      </c>
      <c r="R12" s="4">
        <v>8</v>
      </c>
      <c r="S12" s="4">
        <f t="shared" si="14"/>
        <v>970340.65837782482</v>
      </c>
      <c r="T12" s="4">
        <f t="shared" si="15"/>
        <v>0.72619416000000003</v>
      </c>
      <c r="U12" s="11">
        <f t="shared" si="6"/>
        <v>366112.76</v>
      </c>
      <c r="V12" s="11">
        <f t="shared" si="16"/>
        <v>0.27399547356693293</v>
      </c>
      <c r="W12" s="11">
        <f t="shared" si="17"/>
        <v>0.27380583999999997</v>
      </c>
      <c r="Y12" s="3">
        <v>41589</v>
      </c>
      <c r="Z12" s="4">
        <v>52808.41</v>
      </c>
      <c r="AA12" s="4"/>
      <c r="AB12" s="4"/>
      <c r="AC12" s="4">
        <v>52808.41</v>
      </c>
      <c r="AD12" s="4"/>
      <c r="AE12" s="4"/>
      <c r="AF12" s="4">
        <v>52808.41</v>
      </c>
      <c r="AG12" s="4">
        <v>403245.48</v>
      </c>
      <c r="AH12" s="4"/>
      <c r="AI12" s="4"/>
      <c r="AJ12" s="4">
        <v>403245.48</v>
      </c>
      <c r="AK12" s="4">
        <v>312657.17</v>
      </c>
      <c r="AL12" s="4"/>
      <c r="AM12" s="4"/>
      <c r="AN12" s="4">
        <v>312657.17</v>
      </c>
      <c r="AO12" s="4">
        <v>167126.82</v>
      </c>
      <c r="AP12" s="4"/>
      <c r="AQ12" s="4"/>
      <c r="AR12" s="4">
        <v>167126.82</v>
      </c>
      <c r="AS12" s="4">
        <v>4674.43</v>
      </c>
      <c r="AT12" s="4"/>
      <c r="AU12" s="4">
        <v>4674.43</v>
      </c>
      <c r="AV12" s="4">
        <v>82384.45</v>
      </c>
      <c r="AW12" s="4"/>
      <c r="AX12" s="4"/>
      <c r="AY12" s="4">
        <v>82384.45</v>
      </c>
      <c r="AZ12" s="4">
        <v>-1.08</v>
      </c>
      <c r="BA12" s="4"/>
      <c r="BB12" s="4">
        <v>-1.08</v>
      </c>
      <c r="BC12" s="4">
        <v>970087.27</v>
      </c>
      <c r="BD12" s="4">
        <v>40273.26</v>
      </c>
      <c r="BE12" s="4"/>
      <c r="BF12" s="4"/>
      <c r="BG12" s="4">
        <v>40273.26</v>
      </c>
      <c r="BH12" s="4"/>
      <c r="BI12" s="4"/>
      <c r="BJ12" s="4"/>
      <c r="BK12" s="4">
        <v>40273.26</v>
      </c>
      <c r="BL12" s="4"/>
      <c r="BM12" s="4"/>
      <c r="BN12" s="4"/>
      <c r="BO12" s="4"/>
      <c r="BP12" s="4"/>
      <c r="BQ12" s="4"/>
      <c r="BR12" s="4"/>
      <c r="BS12" s="4"/>
      <c r="BT12" s="4"/>
      <c r="BU12" s="4"/>
      <c r="BV12" s="4"/>
      <c r="BW12" s="4"/>
      <c r="BX12" s="4"/>
      <c r="BY12" s="4"/>
      <c r="BZ12" s="4"/>
      <c r="CA12" s="4"/>
      <c r="CB12" s="4"/>
      <c r="CC12" s="4">
        <v>1336200.03</v>
      </c>
      <c r="CD12" s="1"/>
      <c r="CE12" s="1"/>
    </row>
    <row r="13" spans="1:83">
      <c r="C13" s="6"/>
      <c r="D13" s="2">
        <v>41596</v>
      </c>
      <c r="E13" s="11">
        <f t="shared" si="7"/>
        <v>1510124.9400000004</v>
      </c>
      <c r="F13" s="4">
        <f t="shared" si="8"/>
        <v>1093277.0299999998</v>
      </c>
      <c r="G13" s="4">
        <f t="shared" si="0"/>
        <v>0.72396462109949622</v>
      </c>
      <c r="H13" s="4">
        <f t="shared" si="1"/>
        <v>0</v>
      </c>
      <c r="I13" s="4">
        <f t="shared" si="2"/>
        <v>0</v>
      </c>
      <c r="J13" s="4">
        <f t="shared" si="9"/>
        <v>0</v>
      </c>
      <c r="K13" s="4">
        <f t="shared" si="10"/>
        <v>0</v>
      </c>
      <c r="L13" s="4">
        <f t="shared" si="11"/>
        <v>0</v>
      </c>
      <c r="M13" s="4">
        <f t="shared" si="3"/>
        <v>0</v>
      </c>
      <c r="N13" s="4">
        <f t="shared" si="12"/>
        <v>0</v>
      </c>
      <c r="O13" s="4">
        <f t="shared" si="4"/>
        <v>0</v>
      </c>
      <c r="P13" s="4">
        <f t="shared" si="13"/>
        <v>1093277.0299999998</v>
      </c>
      <c r="Q13" s="4">
        <f t="shared" si="5"/>
        <v>0.72396462109949622</v>
      </c>
      <c r="R13" s="4">
        <v>9</v>
      </c>
      <c r="S13" s="4">
        <f t="shared" si="14"/>
        <v>1097156.2523867446</v>
      </c>
      <c r="T13" s="4">
        <f t="shared" si="15"/>
        <v>0.72653343000000004</v>
      </c>
      <c r="U13" s="11">
        <f t="shared" si="6"/>
        <v>416847.91000000061</v>
      </c>
      <c r="V13" s="11">
        <f t="shared" si="16"/>
        <v>0.27603537890050378</v>
      </c>
      <c r="W13" s="11">
        <f t="shared" si="17"/>
        <v>0.27346656999999996</v>
      </c>
      <c r="Y13" s="3">
        <v>41596</v>
      </c>
      <c r="Z13" s="4">
        <v>60252.45</v>
      </c>
      <c r="AA13" s="4"/>
      <c r="AB13" s="4"/>
      <c r="AC13" s="4">
        <v>60252.45</v>
      </c>
      <c r="AD13" s="4"/>
      <c r="AE13" s="4"/>
      <c r="AF13" s="4">
        <v>60252.45</v>
      </c>
      <c r="AG13" s="4">
        <v>447949.45</v>
      </c>
      <c r="AH13" s="4"/>
      <c r="AI13" s="4"/>
      <c r="AJ13" s="4">
        <v>447949.45</v>
      </c>
      <c r="AK13" s="4">
        <v>364806.5</v>
      </c>
      <c r="AL13" s="4"/>
      <c r="AM13" s="4"/>
      <c r="AN13" s="4">
        <v>364806.5</v>
      </c>
      <c r="AO13" s="4">
        <v>183554.97</v>
      </c>
      <c r="AP13" s="4"/>
      <c r="AQ13" s="4"/>
      <c r="AR13" s="4">
        <v>183554.97</v>
      </c>
      <c r="AS13" s="4">
        <v>5624.11</v>
      </c>
      <c r="AT13" s="4"/>
      <c r="AU13" s="4">
        <v>5624.11</v>
      </c>
      <c r="AV13" s="4">
        <v>91342</v>
      </c>
      <c r="AW13" s="4"/>
      <c r="AX13" s="4"/>
      <c r="AY13" s="4">
        <v>91342</v>
      </c>
      <c r="AZ13" s="4"/>
      <c r="BA13" s="4"/>
      <c r="BB13" s="4"/>
      <c r="BC13" s="4">
        <v>1093277.0299999998</v>
      </c>
      <c r="BD13" s="4">
        <v>46456.97</v>
      </c>
      <c r="BE13" s="4"/>
      <c r="BF13" s="4"/>
      <c r="BG13" s="4">
        <v>46456.97</v>
      </c>
      <c r="BH13" s="4"/>
      <c r="BI13" s="4"/>
      <c r="BJ13" s="4"/>
      <c r="BK13" s="4">
        <v>46456.97</v>
      </c>
      <c r="BL13" s="4"/>
      <c r="BM13" s="4"/>
      <c r="BN13" s="4"/>
      <c r="BO13" s="4"/>
      <c r="BP13" s="4"/>
      <c r="BQ13" s="4"/>
      <c r="BR13" s="4"/>
      <c r="BS13" s="4"/>
      <c r="BT13" s="4"/>
      <c r="BU13" s="4"/>
      <c r="BV13" s="4"/>
      <c r="BW13" s="4"/>
      <c r="BX13" s="4"/>
      <c r="BY13" s="4"/>
      <c r="BZ13" s="4"/>
      <c r="CA13" s="4"/>
      <c r="CB13" s="4"/>
      <c r="CC13" s="4">
        <v>1510124.9400000004</v>
      </c>
      <c r="CD13" s="1"/>
      <c r="CE13" s="1"/>
    </row>
    <row r="14" spans="1:83">
      <c r="D14" s="2">
        <v>41603</v>
      </c>
      <c r="E14" s="11">
        <f t="shared" si="7"/>
        <v>1110883.73</v>
      </c>
      <c r="F14" s="4">
        <f t="shared" si="8"/>
        <v>804269.99000000011</v>
      </c>
      <c r="G14" s="4">
        <f t="shared" si="0"/>
        <v>0.72399115072105713</v>
      </c>
      <c r="H14" s="4">
        <f t="shared" si="1"/>
        <v>0</v>
      </c>
      <c r="I14" s="4">
        <f t="shared" si="2"/>
        <v>0</v>
      </c>
      <c r="J14" s="4">
        <f t="shared" si="9"/>
        <v>0</v>
      </c>
      <c r="K14" s="4">
        <f t="shared" si="10"/>
        <v>0</v>
      </c>
      <c r="L14" s="4">
        <f t="shared" si="11"/>
        <v>0</v>
      </c>
      <c r="M14" s="4">
        <f t="shared" si="3"/>
        <v>0</v>
      </c>
      <c r="N14" s="4">
        <f t="shared" si="12"/>
        <v>0</v>
      </c>
      <c r="O14" s="4">
        <f t="shared" si="4"/>
        <v>0</v>
      </c>
      <c r="P14" s="4">
        <f t="shared" si="13"/>
        <v>804269.99000000011</v>
      </c>
      <c r="Q14" s="4">
        <f t="shared" si="5"/>
        <v>0.72399115072105713</v>
      </c>
      <c r="R14" s="4">
        <v>10</v>
      </c>
      <c r="S14" s="4">
        <f t="shared" si="14"/>
        <v>807471.05621117097</v>
      </c>
      <c r="T14" s="4">
        <f t="shared" si="15"/>
        <v>0.72687270000000004</v>
      </c>
      <c r="U14" s="11">
        <f t="shared" si="6"/>
        <v>306613.73999999987</v>
      </c>
      <c r="V14" s="11">
        <f t="shared" si="16"/>
        <v>0.27600884927894287</v>
      </c>
      <c r="W14" s="11">
        <f t="shared" si="17"/>
        <v>0.27312729999999996</v>
      </c>
      <c r="Y14" s="3">
        <v>41603</v>
      </c>
      <c r="Z14" s="4">
        <v>44520.68</v>
      </c>
      <c r="AA14" s="4"/>
      <c r="AB14" s="4"/>
      <c r="AC14" s="4">
        <v>44520.68</v>
      </c>
      <c r="AD14" s="4"/>
      <c r="AE14" s="4"/>
      <c r="AF14" s="4">
        <v>44520.68</v>
      </c>
      <c r="AG14" s="4">
        <v>343991.93</v>
      </c>
      <c r="AH14" s="4"/>
      <c r="AI14" s="4"/>
      <c r="AJ14" s="4">
        <v>343991.93</v>
      </c>
      <c r="AK14" s="4">
        <v>260735.72</v>
      </c>
      <c r="AL14" s="4"/>
      <c r="AM14" s="4"/>
      <c r="AN14" s="4">
        <v>260735.72</v>
      </c>
      <c r="AO14" s="4">
        <v>129496.19</v>
      </c>
      <c r="AP14" s="4"/>
      <c r="AQ14" s="4"/>
      <c r="AR14" s="4">
        <v>129496.19</v>
      </c>
      <c r="AS14" s="4">
        <v>3090.87</v>
      </c>
      <c r="AT14" s="4"/>
      <c r="AU14" s="4">
        <v>3090.87</v>
      </c>
      <c r="AV14" s="4">
        <v>66955.28</v>
      </c>
      <c r="AW14" s="4"/>
      <c r="AX14" s="4"/>
      <c r="AY14" s="4">
        <v>66955.28</v>
      </c>
      <c r="AZ14" s="4"/>
      <c r="BA14" s="4"/>
      <c r="BB14" s="4"/>
      <c r="BC14" s="4">
        <v>804269.99000000011</v>
      </c>
      <c r="BD14" s="4">
        <v>34941.269999999997</v>
      </c>
      <c r="BE14" s="4"/>
      <c r="BF14" s="4"/>
      <c r="BG14" s="4">
        <v>34941.269999999997</v>
      </c>
      <c r="BH14" s="4"/>
      <c r="BI14" s="4"/>
      <c r="BJ14" s="4"/>
      <c r="BK14" s="4">
        <v>34941.269999999997</v>
      </c>
      <c r="BL14" s="4"/>
      <c r="BM14" s="4"/>
      <c r="BN14" s="4"/>
      <c r="BO14" s="4"/>
      <c r="BP14" s="4"/>
      <c r="BQ14" s="4"/>
      <c r="BR14" s="4"/>
      <c r="BS14" s="4"/>
      <c r="BT14" s="4"/>
      <c r="BU14" s="4"/>
      <c r="BV14" s="4"/>
      <c r="BW14" s="4"/>
      <c r="BX14" s="4"/>
      <c r="BY14" s="4"/>
      <c r="BZ14" s="4"/>
      <c r="CA14" s="4"/>
      <c r="CB14" s="4"/>
      <c r="CC14" s="4">
        <v>1110883.73</v>
      </c>
      <c r="CD14" s="1"/>
      <c r="CE14" s="1"/>
    </row>
    <row r="15" spans="1:83">
      <c r="D15" s="2">
        <v>41610</v>
      </c>
      <c r="E15" s="11">
        <f t="shared" si="7"/>
        <v>1269273.8399999999</v>
      </c>
      <c r="F15" s="4">
        <f t="shared" si="8"/>
        <v>913494.70999999985</v>
      </c>
      <c r="G15" s="4">
        <f t="shared" si="0"/>
        <v>0.7196986822008401</v>
      </c>
      <c r="H15" s="4">
        <f t="shared" si="1"/>
        <v>0</v>
      </c>
      <c r="I15" s="4">
        <f t="shared" si="2"/>
        <v>0</v>
      </c>
      <c r="J15" s="4">
        <f t="shared" si="9"/>
        <v>0</v>
      </c>
      <c r="K15" s="4">
        <f t="shared" si="10"/>
        <v>0</v>
      </c>
      <c r="L15" s="4">
        <f t="shared" si="11"/>
        <v>0</v>
      </c>
      <c r="M15" s="4">
        <f t="shared" si="3"/>
        <v>0</v>
      </c>
      <c r="N15" s="4">
        <f t="shared" si="12"/>
        <v>0</v>
      </c>
      <c r="O15" s="4">
        <f t="shared" si="4"/>
        <v>0</v>
      </c>
      <c r="P15" s="4">
        <f t="shared" si="13"/>
        <v>913494.70999999985</v>
      </c>
      <c r="Q15" s="4">
        <f t="shared" si="5"/>
        <v>0.7196986822008401</v>
      </c>
      <c r="R15" s="4">
        <v>11</v>
      </c>
      <c r="S15" s="4">
        <f t="shared" si="14"/>
        <v>923031.12965586479</v>
      </c>
      <c r="T15" s="4">
        <f t="shared" si="15"/>
        <v>0.72721197000000004</v>
      </c>
      <c r="U15" s="11">
        <f t="shared" si="6"/>
        <v>355779.13</v>
      </c>
      <c r="V15" s="11">
        <f t="shared" si="16"/>
        <v>0.2803013177991599</v>
      </c>
      <c r="W15" s="11">
        <f t="shared" si="17"/>
        <v>0.27278802999999996</v>
      </c>
      <c r="Y15" s="3">
        <v>41610</v>
      </c>
      <c r="Z15" s="4">
        <v>50946.96</v>
      </c>
      <c r="AA15" s="4"/>
      <c r="AB15" s="4"/>
      <c r="AC15" s="4">
        <v>50946.96</v>
      </c>
      <c r="AD15" s="4"/>
      <c r="AE15" s="4"/>
      <c r="AF15" s="4">
        <v>50946.96</v>
      </c>
      <c r="AG15" s="4">
        <v>383179.04</v>
      </c>
      <c r="AH15" s="4"/>
      <c r="AI15" s="4"/>
      <c r="AJ15" s="4">
        <v>383179.04</v>
      </c>
      <c r="AK15" s="4">
        <v>301264.59999999998</v>
      </c>
      <c r="AL15" s="4"/>
      <c r="AM15" s="4"/>
      <c r="AN15" s="4">
        <v>301264.59999999998</v>
      </c>
      <c r="AO15" s="4">
        <v>146588.93</v>
      </c>
      <c r="AP15" s="4"/>
      <c r="AQ15" s="4"/>
      <c r="AR15" s="4">
        <v>146588.93</v>
      </c>
      <c r="AS15" s="4">
        <v>4307.8999999999996</v>
      </c>
      <c r="AT15" s="4"/>
      <c r="AU15" s="4">
        <v>4307.8999999999996</v>
      </c>
      <c r="AV15" s="4">
        <v>78154.240000000005</v>
      </c>
      <c r="AW15" s="4"/>
      <c r="AX15" s="4"/>
      <c r="AY15" s="4">
        <v>78154.240000000005</v>
      </c>
      <c r="AZ15" s="4"/>
      <c r="BA15" s="4"/>
      <c r="BB15" s="4"/>
      <c r="BC15" s="4">
        <v>913494.70999999985</v>
      </c>
      <c r="BD15" s="4">
        <v>39597.85</v>
      </c>
      <c r="BE15" s="4"/>
      <c r="BF15" s="4"/>
      <c r="BG15" s="4">
        <v>39597.85</v>
      </c>
      <c r="BH15" s="4"/>
      <c r="BI15" s="4"/>
      <c r="BJ15" s="4"/>
      <c r="BK15" s="4">
        <v>39597.85</v>
      </c>
      <c r="BL15" s="4"/>
      <c r="BM15" s="4"/>
      <c r="BN15" s="4"/>
      <c r="BO15" s="4"/>
      <c r="BP15" s="4"/>
      <c r="BQ15" s="4"/>
      <c r="BR15" s="4"/>
      <c r="BS15" s="4"/>
      <c r="BT15" s="4"/>
      <c r="BU15" s="4"/>
      <c r="BV15" s="4"/>
      <c r="BW15" s="4"/>
      <c r="BX15" s="4"/>
      <c r="BY15" s="4"/>
      <c r="BZ15" s="4"/>
      <c r="CA15" s="4"/>
      <c r="CB15" s="4"/>
      <c r="CC15" s="4">
        <v>1269273.8399999999</v>
      </c>
      <c r="CD15" s="1"/>
      <c r="CE15" s="1"/>
    </row>
    <row r="16" spans="1:83">
      <c r="D16" s="2">
        <v>41617</v>
      </c>
      <c r="E16" s="11">
        <f t="shared" si="7"/>
        <v>1285290.6199999996</v>
      </c>
      <c r="F16" s="4">
        <f t="shared" si="8"/>
        <v>938609.09999999986</v>
      </c>
      <c r="G16" s="4">
        <f t="shared" si="0"/>
        <v>0.73026993692679409</v>
      </c>
      <c r="H16" s="4">
        <f t="shared" si="1"/>
        <v>0</v>
      </c>
      <c r="I16" s="4">
        <f t="shared" si="2"/>
        <v>0</v>
      </c>
      <c r="J16" s="4">
        <f t="shared" si="9"/>
        <v>0</v>
      </c>
      <c r="K16" s="4">
        <f t="shared" si="10"/>
        <v>0</v>
      </c>
      <c r="L16" s="4">
        <f t="shared" si="11"/>
        <v>0</v>
      </c>
      <c r="M16" s="4">
        <f t="shared" si="3"/>
        <v>0</v>
      </c>
      <c r="N16" s="4">
        <f t="shared" si="12"/>
        <v>0</v>
      </c>
      <c r="O16" s="4">
        <f t="shared" si="4"/>
        <v>0</v>
      </c>
      <c r="P16" s="4">
        <f t="shared" si="13"/>
        <v>938609.09999999986</v>
      </c>
      <c r="Q16" s="4">
        <f t="shared" si="5"/>
        <v>0.73026993692679409</v>
      </c>
      <c r="R16" s="4">
        <v>12</v>
      </c>
      <c r="S16" s="4">
        <f t="shared" si="14"/>
        <v>935114.78434136859</v>
      </c>
      <c r="T16" s="4">
        <f t="shared" si="15"/>
        <v>0.72755124000000004</v>
      </c>
      <c r="U16" s="11">
        <f t="shared" si="6"/>
        <v>346681.51999999979</v>
      </c>
      <c r="V16" s="11">
        <f t="shared" si="16"/>
        <v>0.26973006307320585</v>
      </c>
      <c r="W16" s="11">
        <f t="shared" si="17"/>
        <v>0.27244875999999996</v>
      </c>
      <c r="Y16" s="3">
        <v>41617</v>
      </c>
      <c r="Z16" s="4">
        <v>50456.69</v>
      </c>
      <c r="AA16" s="4"/>
      <c r="AB16" s="4"/>
      <c r="AC16" s="4">
        <v>50456.69</v>
      </c>
      <c r="AD16" s="4"/>
      <c r="AE16" s="4"/>
      <c r="AF16" s="4">
        <v>50456.69</v>
      </c>
      <c r="AG16" s="4">
        <v>412285.72</v>
      </c>
      <c r="AH16" s="4"/>
      <c r="AI16" s="4"/>
      <c r="AJ16" s="4">
        <v>412285.72</v>
      </c>
      <c r="AK16" s="4">
        <v>297537.25</v>
      </c>
      <c r="AL16" s="4"/>
      <c r="AM16" s="4"/>
      <c r="AN16" s="4">
        <v>297537.25</v>
      </c>
      <c r="AO16" s="4">
        <v>148164.49</v>
      </c>
      <c r="AP16" s="4"/>
      <c r="AQ16" s="4"/>
      <c r="AR16" s="4">
        <v>148164.49</v>
      </c>
      <c r="AS16" s="4">
        <v>4436.33</v>
      </c>
      <c r="AT16" s="4"/>
      <c r="AU16" s="4">
        <v>4436.33</v>
      </c>
      <c r="AV16" s="4">
        <v>76185.31</v>
      </c>
      <c r="AW16" s="4"/>
      <c r="AX16" s="4"/>
      <c r="AY16" s="4">
        <v>76185.31</v>
      </c>
      <c r="AZ16" s="4"/>
      <c r="BA16" s="4"/>
      <c r="BB16" s="4"/>
      <c r="BC16" s="4">
        <v>938609.09999999986</v>
      </c>
      <c r="BD16" s="4">
        <v>38609.410000000003</v>
      </c>
      <c r="BE16" s="4"/>
      <c r="BF16" s="4"/>
      <c r="BG16" s="4">
        <v>38609.410000000003</v>
      </c>
      <c r="BH16" s="4"/>
      <c r="BI16" s="4"/>
      <c r="BJ16" s="4"/>
      <c r="BK16" s="4">
        <v>38609.410000000003</v>
      </c>
      <c r="BL16" s="4"/>
      <c r="BM16" s="4"/>
      <c r="BN16" s="4"/>
      <c r="BO16" s="4"/>
      <c r="BP16" s="4"/>
      <c r="BQ16" s="4"/>
      <c r="BR16" s="4"/>
      <c r="BS16" s="4"/>
      <c r="BT16" s="4"/>
      <c r="BU16" s="4"/>
      <c r="BV16" s="4"/>
      <c r="BW16" s="4"/>
      <c r="BX16" s="4"/>
      <c r="BY16" s="4"/>
      <c r="BZ16" s="4"/>
      <c r="CA16" s="4"/>
      <c r="CB16" s="4"/>
      <c r="CC16" s="4">
        <v>1285290.6199999996</v>
      </c>
      <c r="CD16" s="1"/>
      <c r="CE16" s="1"/>
    </row>
    <row r="17" spans="4:83">
      <c r="D17" s="2">
        <v>41624</v>
      </c>
      <c r="E17" s="11">
        <f t="shared" si="7"/>
        <v>1482537.08</v>
      </c>
      <c r="F17" s="4">
        <f t="shared" si="8"/>
        <v>1087872.44</v>
      </c>
      <c r="G17" s="4">
        <f t="shared" si="0"/>
        <v>0.73379104959722141</v>
      </c>
      <c r="H17" s="4">
        <f t="shared" si="1"/>
        <v>0</v>
      </c>
      <c r="I17" s="4">
        <f t="shared" si="2"/>
        <v>0</v>
      </c>
      <c r="J17" s="4">
        <f t="shared" si="9"/>
        <v>0</v>
      </c>
      <c r="K17" s="4">
        <f t="shared" si="10"/>
        <v>0</v>
      </c>
      <c r="L17" s="4">
        <f t="shared" si="11"/>
        <v>0</v>
      </c>
      <c r="M17" s="4">
        <f t="shared" si="3"/>
        <v>0</v>
      </c>
      <c r="N17" s="4">
        <f t="shared" si="12"/>
        <v>0</v>
      </c>
      <c r="O17" s="4">
        <f t="shared" si="4"/>
        <v>0</v>
      </c>
      <c r="P17" s="4">
        <f t="shared" si="13"/>
        <v>1087872.44</v>
      </c>
      <c r="Q17" s="4">
        <f t="shared" si="5"/>
        <v>0.73379104959722141</v>
      </c>
      <c r="R17" s="4">
        <v>13</v>
      </c>
      <c r="S17" s="4">
        <f t="shared" si="14"/>
        <v>1079124.671255111</v>
      </c>
      <c r="T17" s="4">
        <f t="shared" si="15"/>
        <v>0.72789051000000005</v>
      </c>
      <c r="U17" s="11">
        <f t="shared" si="6"/>
        <v>394664.64000000013</v>
      </c>
      <c r="V17" s="11">
        <f t="shared" si="16"/>
        <v>0.26620895040277853</v>
      </c>
      <c r="W17" s="11">
        <f t="shared" si="17"/>
        <v>0.27210948999999995</v>
      </c>
      <c r="Y17" s="3">
        <v>41624</v>
      </c>
      <c r="Z17" s="4">
        <v>56503.12</v>
      </c>
      <c r="AA17" s="4"/>
      <c r="AB17" s="4"/>
      <c r="AC17" s="4">
        <v>56503.12</v>
      </c>
      <c r="AD17" s="4"/>
      <c r="AE17" s="4"/>
      <c r="AF17" s="4">
        <v>56503.12</v>
      </c>
      <c r="AG17" s="4">
        <v>467973.06</v>
      </c>
      <c r="AH17" s="4"/>
      <c r="AI17" s="4"/>
      <c r="AJ17" s="4">
        <v>467973.06</v>
      </c>
      <c r="AK17" s="4">
        <v>352974.22</v>
      </c>
      <c r="AL17" s="4"/>
      <c r="AM17" s="4"/>
      <c r="AN17" s="4">
        <v>352974.22</v>
      </c>
      <c r="AO17" s="4">
        <v>171954.96</v>
      </c>
      <c r="AP17" s="4"/>
      <c r="AQ17" s="4"/>
      <c r="AR17" s="4">
        <v>171954.96</v>
      </c>
      <c r="AS17" s="4">
        <v>5325.14</v>
      </c>
      <c r="AT17" s="4"/>
      <c r="AU17" s="4">
        <v>5325.14</v>
      </c>
      <c r="AV17" s="4">
        <v>89645.06</v>
      </c>
      <c r="AW17" s="4"/>
      <c r="AX17" s="4"/>
      <c r="AY17" s="4">
        <v>89645.06</v>
      </c>
      <c r="AZ17" s="4"/>
      <c r="BA17" s="4"/>
      <c r="BB17" s="4"/>
      <c r="BC17" s="4">
        <v>1087872.44</v>
      </c>
      <c r="BD17" s="4">
        <v>44284.62</v>
      </c>
      <c r="BE17" s="4"/>
      <c r="BF17" s="4"/>
      <c r="BG17" s="4">
        <v>44284.62</v>
      </c>
      <c r="BH17" s="4"/>
      <c r="BI17" s="4"/>
      <c r="BJ17" s="4"/>
      <c r="BK17" s="4">
        <v>44284.62</v>
      </c>
      <c r="BL17" s="4"/>
      <c r="BM17" s="4"/>
      <c r="BN17" s="4"/>
      <c r="BO17" s="4"/>
      <c r="BP17" s="4"/>
      <c r="BQ17" s="4"/>
      <c r="BR17" s="4"/>
      <c r="BS17" s="4"/>
      <c r="BT17" s="4"/>
      <c r="BU17" s="4"/>
      <c r="BV17" s="4"/>
      <c r="BW17" s="4"/>
      <c r="BX17" s="4"/>
      <c r="BY17" s="4"/>
      <c r="BZ17" s="4"/>
      <c r="CA17" s="4"/>
      <c r="CB17" s="4"/>
      <c r="CC17" s="4">
        <v>1482537.08</v>
      </c>
      <c r="CD17" s="1"/>
      <c r="CE17" s="1"/>
    </row>
    <row r="18" spans="4:83">
      <c r="D18" s="2">
        <v>41631</v>
      </c>
      <c r="E18" s="11">
        <f t="shared" si="7"/>
        <v>1152005.2200000002</v>
      </c>
      <c r="F18" s="4">
        <f t="shared" si="8"/>
        <v>837473.34000000008</v>
      </c>
      <c r="G18" s="4">
        <f t="shared" si="0"/>
        <v>0.72697009133344026</v>
      </c>
      <c r="H18" s="4">
        <f t="shared" si="1"/>
        <v>0</v>
      </c>
      <c r="I18" s="4">
        <f t="shared" si="2"/>
        <v>0</v>
      </c>
      <c r="J18" s="4">
        <f t="shared" si="9"/>
        <v>0</v>
      </c>
      <c r="K18" s="4">
        <f t="shared" si="10"/>
        <v>0</v>
      </c>
      <c r="L18" s="4">
        <f t="shared" si="11"/>
        <v>0</v>
      </c>
      <c r="M18" s="4">
        <f t="shared" si="3"/>
        <v>0</v>
      </c>
      <c r="N18" s="4">
        <f t="shared" si="12"/>
        <v>0</v>
      </c>
      <c r="O18" s="4">
        <f t="shared" si="4"/>
        <v>0</v>
      </c>
      <c r="P18" s="4">
        <f t="shared" si="13"/>
        <v>837473.34000000008</v>
      </c>
      <c r="Q18" s="4">
        <f t="shared" si="5"/>
        <v>0.72697009133344026</v>
      </c>
      <c r="R18" s="4">
        <v>14</v>
      </c>
      <c r="S18" s="4">
        <f t="shared" si="14"/>
        <v>838924.5079194518</v>
      </c>
      <c r="T18" s="4">
        <f t="shared" si="15"/>
        <v>0.72822978000000005</v>
      </c>
      <c r="U18" s="11">
        <f t="shared" si="6"/>
        <v>314531.88000000012</v>
      </c>
      <c r="V18" s="11">
        <f t="shared" si="16"/>
        <v>0.27302990866655974</v>
      </c>
      <c r="W18" s="11">
        <f t="shared" si="17"/>
        <v>0.27177021999999995</v>
      </c>
      <c r="Y18" s="3">
        <v>41631</v>
      </c>
      <c r="Z18" s="4">
        <v>46378.31</v>
      </c>
      <c r="AA18" s="4"/>
      <c r="AB18" s="4"/>
      <c r="AC18" s="4">
        <v>46378.31</v>
      </c>
      <c r="AD18" s="4"/>
      <c r="AE18" s="4"/>
      <c r="AF18" s="4">
        <v>46378.31</v>
      </c>
      <c r="AG18" s="4">
        <v>358824.31</v>
      </c>
      <c r="AH18" s="4"/>
      <c r="AI18" s="4"/>
      <c r="AJ18" s="4">
        <v>358824.31</v>
      </c>
      <c r="AK18" s="4">
        <v>268787.71000000002</v>
      </c>
      <c r="AL18" s="4"/>
      <c r="AM18" s="4"/>
      <c r="AN18" s="4">
        <v>268787.71000000002</v>
      </c>
      <c r="AO18" s="4">
        <v>135857.47</v>
      </c>
      <c r="AP18" s="4"/>
      <c r="AQ18" s="4"/>
      <c r="AR18" s="4">
        <v>135857.47</v>
      </c>
      <c r="AS18" s="4">
        <v>3151.05</v>
      </c>
      <c r="AT18" s="4"/>
      <c r="AU18" s="4">
        <v>3151.05</v>
      </c>
      <c r="AV18" s="4">
        <v>70852.800000000003</v>
      </c>
      <c r="AW18" s="4"/>
      <c r="AX18" s="4"/>
      <c r="AY18" s="4">
        <v>70852.800000000003</v>
      </c>
      <c r="AZ18" s="4"/>
      <c r="BA18" s="4"/>
      <c r="BB18" s="4"/>
      <c r="BC18" s="4">
        <v>837473.34000000008</v>
      </c>
      <c r="BD18" s="4">
        <v>36446.129999999997</v>
      </c>
      <c r="BE18" s="4"/>
      <c r="BF18" s="4"/>
      <c r="BG18" s="4">
        <v>36446.129999999997</v>
      </c>
      <c r="BH18" s="4"/>
      <c r="BI18" s="4"/>
      <c r="BJ18" s="4"/>
      <c r="BK18" s="4">
        <v>36446.129999999997</v>
      </c>
      <c r="BL18" s="4"/>
      <c r="BM18" s="4"/>
      <c r="BN18" s="4"/>
      <c r="BO18" s="4"/>
      <c r="BP18" s="4"/>
      <c r="BQ18" s="4"/>
      <c r="BR18" s="4"/>
      <c r="BS18" s="4"/>
      <c r="BT18" s="4"/>
      <c r="BU18" s="4"/>
      <c r="BV18" s="4"/>
      <c r="BW18" s="4"/>
      <c r="BX18" s="4"/>
      <c r="BY18" s="4"/>
      <c r="BZ18" s="4"/>
      <c r="CA18" s="4"/>
      <c r="CB18" s="4"/>
      <c r="CC18" s="4">
        <v>1152005.2200000002</v>
      </c>
      <c r="CD18" s="1"/>
      <c r="CE18" s="1"/>
    </row>
    <row r="19" spans="4:83">
      <c r="D19" s="2">
        <v>41638</v>
      </c>
      <c r="E19" s="11">
        <f t="shared" si="7"/>
        <v>1102081.8200000003</v>
      </c>
      <c r="F19" s="4">
        <f t="shared" si="8"/>
        <v>802383.66</v>
      </c>
      <c r="G19" s="4">
        <f t="shared" si="0"/>
        <v>0.72806178764476837</v>
      </c>
      <c r="H19" s="4">
        <f t="shared" si="1"/>
        <v>0</v>
      </c>
      <c r="I19" s="4">
        <f t="shared" si="2"/>
        <v>0</v>
      </c>
      <c r="J19" s="4">
        <f t="shared" si="9"/>
        <v>0</v>
      </c>
      <c r="K19" s="4">
        <f t="shared" si="10"/>
        <v>0</v>
      </c>
      <c r="L19" s="4">
        <f t="shared" si="11"/>
        <v>0</v>
      </c>
      <c r="M19" s="4">
        <f t="shared" si="3"/>
        <v>0</v>
      </c>
      <c r="N19" s="4">
        <f t="shared" si="12"/>
        <v>0</v>
      </c>
      <c r="O19" s="4">
        <f t="shared" si="4"/>
        <v>0</v>
      </c>
      <c r="P19" s="4">
        <f t="shared" si="13"/>
        <v>802383.66</v>
      </c>
      <c r="Q19" s="4">
        <f t="shared" si="5"/>
        <v>0.72806178764476837</v>
      </c>
      <c r="R19" s="4">
        <v>15</v>
      </c>
      <c r="S19" s="4">
        <f t="shared" si="14"/>
        <v>802942.70461967122</v>
      </c>
      <c r="T19" s="4">
        <f t="shared" si="15"/>
        <v>0.72856905000000005</v>
      </c>
      <c r="U19" s="11">
        <f t="shared" si="6"/>
        <v>299698.16000000027</v>
      </c>
      <c r="V19" s="11">
        <f t="shared" si="16"/>
        <v>0.27193821235523163</v>
      </c>
      <c r="W19" s="11">
        <f t="shared" si="17"/>
        <v>0.27143094999999995</v>
      </c>
      <c r="Y19" s="3">
        <v>41638</v>
      </c>
      <c r="Z19" s="4">
        <v>44067.74</v>
      </c>
      <c r="AA19" s="4"/>
      <c r="AB19" s="4"/>
      <c r="AC19" s="4">
        <v>44067.74</v>
      </c>
      <c r="AD19" s="4"/>
      <c r="AE19" s="4"/>
      <c r="AF19" s="4">
        <v>44067.74</v>
      </c>
      <c r="AG19" s="4">
        <v>338622.07</v>
      </c>
      <c r="AH19" s="4"/>
      <c r="AI19" s="4"/>
      <c r="AJ19" s="4">
        <v>338622.07</v>
      </c>
      <c r="AK19" s="4">
        <v>262477.05</v>
      </c>
      <c r="AL19" s="4"/>
      <c r="AM19" s="4"/>
      <c r="AN19" s="4">
        <v>262477.05</v>
      </c>
      <c r="AO19" s="4">
        <v>128733.91</v>
      </c>
      <c r="AP19" s="4"/>
      <c r="AQ19" s="4"/>
      <c r="AR19" s="4">
        <v>128733.91</v>
      </c>
      <c r="AS19" s="4">
        <v>3961.78</v>
      </c>
      <c r="AT19" s="4"/>
      <c r="AU19" s="4">
        <v>3961.78</v>
      </c>
      <c r="AV19" s="4">
        <v>68588.850000000006</v>
      </c>
      <c r="AW19" s="4"/>
      <c r="AX19" s="4"/>
      <c r="AY19" s="4">
        <v>68588.850000000006</v>
      </c>
      <c r="AZ19" s="4"/>
      <c r="BA19" s="4"/>
      <c r="BB19" s="4"/>
      <c r="BC19" s="4">
        <v>802383.66</v>
      </c>
      <c r="BD19" s="4">
        <v>34473.39</v>
      </c>
      <c r="BE19" s="4"/>
      <c r="BF19" s="4"/>
      <c r="BG19" s="4">
        <v>34473.39</v>
      </c>
      <c r="BH19" s="4"/>
      <c r="BI19" s="4"/>
      <c r="BJ19" s="4"/>
      <c r="BK19" s="4">
        <v>34473.39</v>
      </c>
      <c r="BL19" s="4"/>
      <c r="BM19" s="4"/>
      <c r="BN19" s="4"/>
      <c r="BO19" s="4"/>
      <c r="BP19" s="4"/>
      <c r="BQ19" s="4"/>
      <c r="BR19" s="4"/>
      <c r="BS19" s="4"/>
      <c r="BT19" s="4"/>
      <c r="BU19" s="4"/>
      <c r="BV19" s="4"/>
      <c r="BW19" s="4"/>
      <c r="BX19" s="4"/>
      <c r="BY19" s="4"/>
      <c r="BZ19" s="4"/>
      <c r="CA19" s="4"/>
      <c r="CB19" s="4"/>
      <c r="CC19" s="4">
        <v>1102081.8200000003</v>
      </c>
      <c r="CD19" s="1"/>
      <c r="CE19" s="1"/>
    </row>
    <row r="20" spans="4:83">
      <c r="D20" s="2">
        <v>41645</v>
      </c>
      <c r="E20" s="11">
        <f t="shared" si="7"/>
        <v>1304097.5499999998</v>
      </c>
      <c r="F20" s="4">
        <f t="shared" si="8"/>
        <v>954018.22</v>
      </c>
      <c r="G20" s="4">
        <f t="shared" si="0"/>
        <v>0.73155433809380299</v>
      </c>
      <c r="H20" s="4">
        <f t="shared" si="1"/>
        <v>0</v>
      </c>
      <c r="I20" s="4">
        <f t="shared" si="2"/>
        <v>0</v>
      </c>
      <c r="J20" s="4">
        <f t="shared" si="9"/>
        <v>0</v>
      </c>
      <c r="K20" s="4">
        <f t="shared" si="10"/>
        <v>0</v>
      </c>
      <c r="L20" s="4">
        <f t="shared" si="11"/>
        <v>0</v>
      </c>
      <c r="M20" s="4">
        <f t="shared" si="3"/>
        <v>0</v>
      </c>
      <c r="N20" s="4">
        <f t="shared" si="12"/>
        <v>0</v>
      </c>
      <c r="O20" s="4">
        <f t="shared" si="4"/>
        <v>0</v>
      </c>
      <c r="P20" s="4">
        <f t="shared" si="13"/>
        <v>954018.22</v>
      </c>
      <c r="Q20" s="4">
        <f t="shared" si="5"/>
        <v>0.73155433809380299</v>
      </c>
      <c r="R20" s="4">
        <v>16</v>
      </c>
      <c r="S20" s="4">
        <f t="shared" si="14"/>
        <v>950567.55428661592</v>
      </c>
      <c r="T20" s="4">
        <f t="shared" si="15"/>
        <v>0.72890832000000005</v>
      </c>
      <c r="U20" s="11">
        <f t="shared" si="6"/>
        <v>350079.32999999984</v>
      </c>
      <c r="V20" s="11">
        <f t="shared" si="16"/>
        <v>0.26844566190619706</v>
      </c>
      <c r="W20" s="11">
        <f t="shared" si="17"/>
        <v>0.27109167999999995</v>
      </c>
      <c r="Y20" s="3">
        <v>41645</v>
      </c>
      <c r="Z20" s="4"/>
      <c r="AA20" s="4">
        <v>48122.29</v>
      </c>
      <c r="AB20" s="4"/>
      <c r="AC20" s="4">
        <v>48122.29</v>
      </c>
      <c r="AD20" s="4"/>
      <c r="AE20" s="4"/>
      <c r="AF20" s="4">
        <v>48122.29</v>
      </c>
      <c r="AG20" s="4"/>
      <c r="AH20" s="4">
        <v>396939.62</v>
      </c>
      <c r="AI20" s="4"/>
      <c r="AJ20" s="4">
        <v>396939.62</v>
      </c>
      <c r="AK20" s="4"/>
      <c r="AL20" s="4">
        <v>329049.89</v>
      </c>
      <c r="AM20" s="4"/>
      <c r="AN20" s="4">
        <v>329049.89</v>
      </c>
      <c r="AO20" s="4"/>
      <c r="AP20" s="4">
        <v>146067.16</v>
      </c>
      <c r="AQ20" s="4"/>
      <c r="AR20" s="4">
        <v>146067.16</v>
      </c>
      <c r="AS20" s="4"/>
      <c r="AT20" s="4">
        <v>4344.99</v>
      </c>
      <c r="AU20" s="4">
        <v>4344.99</v>
      </c>
      <c r="AV20" s="4"/>
      <c r="AW20" s="4">
        <v>77616.56</v>
      </c>
      <c r="AX20" s="4"/>
      <c r="AY20" s="4">
        <v>77616.56</v>
      </c>
      <c r="AZ20" s="4"/>
      <c r="BA20" s="4"/>
      <c r="BB20" s="4"/>
      <c r="BC20" s="4">
        <v>954018.22</v>
      </c>
      <c r="BD20" s="4"/>
      <c r="BE20" s="4">
        <v>38564.449999999997</v>
      </c>
      <c r="BF20" s="4"/>
      <c r="BG20" s="4">
        <v>38564.449999999997</v>
      </c>
      <c r="BH20" s="4"/>
      <c r="BI20" s="4"/>
      <c r="BJ20" s="4"/>
      <c r="BK20" s="4">
        <v>38564.449999999997</v>
      </c>
      <c r="BL20" s="4"/>
      <c r="BM20" s="4"/>
      <c r="BN20" s="4"/>
      <c r="BO20" s="4"/>
      <c r="BP20" s="4"/>
      <c r="BQ20" s="4"/>
      <c r="BR20" s="4"/>
      <c r="BS20" s="4"/>
      <c r="BT20" s="4"/>
      <c r="BU20" s="4"/>
      <c r="BV20" s="4"/>
      <c r="BW20" s="4"/>
      <c r="BX20" s="4"/>
      <c r="BY20" s="4"/>
      <c r="BZ20" s="4"/>
      <c r="CA20" s="4"/>
      <c r="CB20" s="4"/>
      <c r="CC20" s="4">
        <v>1304097.5499999998</v>
      </c>
      <c r="CD20" s="1"/>
      <c r="CE20" s="1"/>
    </row>
    <row r="21" spans="4:83">
      <c r="D21" s="2">
        <v>41652</v>
      </c>
      <c r="E21" s="11">
        <f t="shared" si="7"/>
        <v>1355481.1700000002</v>
      </c>
      <c r="F21" s="4">
        <f t="shared" si="8"/>
        <v>1001599.2299999999</v>
      </c>
      <c r="G21" s="4">
        <f t="shared" si="0"/>
        <v>0.73892522608779565</v>
      </c>
      <c r="H21" s="4">
        <f t="shared" si="1"/>
        <v>0</v>
      </c>
      <c r="I21" s="4">
        <f t="shared" si="2"/>
        <v>0</v>
      </c>
      <c r="J21" s="4">
        <f t="shared" si="9"/>
        <v>0</v>
      </c>
      <c r="K21" s="4">
        <f t="shared" si="10"/>
        <v>0</v>
      </c>
      <c r="L21" s="4">
        <f t="shared" si="11"/>
        <v>0</v>
      </c>
      <c r="M21" s="4">
        <f t="shared" si="3"/>
        <v>0</v>
      </c>
      <c r="N21" s="4">
        <f t="shared" si="12"/>
        <v>0</v>
      </c>
      <c r="O21" s="4">
        <f t="shared" si="4"/>
        <v>0</v>
      </c>
      <c r="P21" s="4">
        <f t="shared" si="13"/>
        <v>1001599.2299999999</v>
      </c>
      <c r="Q21" s="4">
        <f t="shared" si="5"/>
        <v>0.73892522608779565</v>
      </c>
      <c r="R21" s="4">
        <v>17</v>
      </c>
      <c r="S21" s="4">
        <f t="shared" si="14"/>
        <v>988481.37651288044</v>
      </c>
      <c r="T21" s="4">
        <f t="shared" si="15"/>
        <v>0.72924759000000006</v>
      </c>
      <c r="U21" s="11">
        <f t="shared" si="6"/>
        <v>353881.94000000029</v>
      </c>
      <c r="V21" s="11">
        <f t="shared" si="16"/>
        <v>0.26107477391220435</v>
      </c>
      <c r="W21" s="11">
        <f t="shared" si="17"/>
        <v>0.27075240999999994</v>
      </c>
      <c r="Y21" s="3">
        <v>41652</v>
      </c>
      <c r="Z21" s="4"/>
      <c r="AA21" s="4">
        <v>48175.24</v>
      </c>
      <c r="AB21" s="4"/>
      <c r="AC21" s="4">
        <v>48175.24</v>
      </c>
      <c r="AD21" s="4"/>
      <c r="AE21" s="4"/>
      <c r="AF21" s="4">
        <v>48175.24</v>
      </c>
      <c r="AG21" s="4"/>
      <c r="AH21" s="4">
        <v>444671.33</v>
      </c>
      <c r="AI21" s="4"/>
      <c r="AJ21" s="4">
        <v>444671.33</v>
      </c>
      <c r="AK21" s="4"/>
      <c r="AL21" s="4">
        <v>323659.11</v>
      </c>
      <c r="AM21" s="4"/>
      <c r="AN21" s="4">
        <v>323659.11</v>
      </c>
      <c r="AO21" s="4"/>
      <c r="AP21" s="4">
        <v>149958.07999999999</v>
      </c>
      <c r="AQ21" s="4"/>
      <c r="AR21" s="4">
        <v>149958.07999999999</v>
      </c>
      <c r="AS21" s="4"/>
      <c r="AT21" s="4">
        <v>4039.66</v>
      </c>
      <c r="AU21" s="4">
        <v>4039.66</v>
      </c>
      <c r="AV21" s="4"/>
      <c r="AW21" s="4">
        <v>79272.179999999993</v>
      </c>
      <c r="AX21" s="4"/>
      <c r="AY21" s="4">
        <v>79272.179999999993</v>
      </c>
      <c r="AZ21" s="4"/>
      <c r="BA21" s="4">
        <v>-1.1299999999999999</v>
      </c>
      <c r="BB21" s="4">
        <v>-1.1299999999999999</v>
      </c>
      <c r="BC21" s="4">
        <v>1001599.2299999999</v>
      </c>
      <c r="BD21" s="4"/>
      <c r="BE21" s="4">
        <v>37058.99</v>
      </c>
      <c r="BF21" s="4"/>
      <c r="BG21" s="4">
        <v>37058.99</v>
      </c>
      <c r="BH21" s="4"/>
      <c r="BI21" s="4"/>
      <c r="BJ21" s="4"/>
      <c r="BK21" s="4">
        <v>37058.99</v>
      </c>
      <c r="BL21" s="4"/>
      <c r="BM21" s="4"/>
      <c r="BN21" s="4"/>
      <c r="BO21" s="4"/>
      <c r="BP21" s="4"/>
      <c r="BQ21" s="4"/>
      <c r="BR21" s="4"/>
      <c r="BS21" s="4"/>
      <c r="BT21" s="4"/>
      <c r="BU21" s="4"/>
      <c r="BV21" s="4"/>
      <c r="BW21" s="4"/>
      <c r="BX21" s="4"/>
      <c r="BY21" s="4"/>
      <c r="BZ21" s="4"/>
      <c r="CA21" s="4"/>
      <c r="CB21" s="4"/>
      <c r="CC21" s="4">
        <v>1355481.1700000002</v>
      </c>
      <c r="CD21" s="1"/>
      <c r="CE21" s="1"/>
    </row>
    <row r="22" spans="4:83">
      <c r="D22" s="2">
        <v>41659</v>
      </c>
      <c r="E22" s="11">
        <f t="shared" si="7"/>
        <v>1219029.8600000001</v>
      </c>
      <c r="F22" s="4">
        <f t="shared" si="8"/>
        <v>890553.08000000007</v>
      </c>
      <c r="G22" s="4">
        <f t="shared" si="0"/>
        <v>0.73054246595731465</v>
      </c>
      <c r="H22" s="4">
        <f t="shared" si="1"/>
        <v>0</v>
      </c>
      <c r="I22" s="4">
        <f t="shared" si="2"/>
        <v>0</v>
      </c>
      <c r="J22" s="4">
        <f t="shared" si="9"/>
        <v>0</v>
      </c>
      <c r="K22" s="4">
        <f t="shared" si="10"/>
        <v>0</v>
      </c>
      <c r="L22" s="4">
        <f t="shared" si="11"/>
        <v>0</v>
      </c>
      <c r="M22" s="4">
        <f t="shared" si="3"/>
        <v>0</v>
      </c>
      <c r="N22" s="4">
        <f t="shared" si="12"/>
        <v>0</v>
      </c>
      <c r="O22" s="4">
        <f t="shared" si="4"/>
        <v>0</v>
      </c>
      <c r="P22" s="4">
        <f t="shared" si="13"/>
        <v>890553.08000000007</v>
      </c>
      <c r="Q22" s="4">
        <f t="shared" si="5"/>
        <v>0.73054246595731465</v>
      </c>
      <c r="R22" s="4">
        <v>18</v>
      </c>
      <c r="S22" s="4">
        <f t="shared" si="14"/>
        <v>889388.16780363978</v>
      </c>
      <c r="T22" s="4">
        <f t="shared" si="15"/>
        <v>0.72958686000000006</v>
      </c>
      <c r="U22" s="11">
        <f t="shared" si="6"/>
        <v>328476.78000000003</v>
      </c>
      <c r="V22" s="11">
        <f t="shared" si="16"/>
        <v>0.26945753404268541</v>
      </c>
      <c r="W22" s="11">
        <f t="shared" si="17"/>
        <v>0.27041313999999994</v>
      </c>
      <c r="Y22" s="3">
        <v>41659</v>
      </c>
      <c r="Z22" s="4"/>
      <c r="AA22" s="4">
        <v>44945.35</v>
      </c>
      <c r="AB22" s="4"/>
      <c r="AC22" s="4">
        <v>44945.35</v>
      </c>
      <c r="AD22" s="4"/>
      <c r="AE22" s="4"/>
      <c r="AF22" s="4">
        <v>44945.35</v>
      </c>
      <c r="AG22" s="4"/>
      <c r="AH22" s="4">
        <v>386272.19</v>
      </c>
      <c r="AI22" s="4"/>
      <c r="AJ22" s="4">
        <v>386272.19</v>
      </c>
      <c r="AK22" s="4"/>
      <c r="AL22" s="4">
        <v>285316.8</v>
      </c>
      <c r="AM22" s="4"/>
      <c r="AN22" s="4">
        <v>285316.8</v>
      </c>
      <c r="AO22" s="4"/>
      <c r="AP22" s="4">
        <v>139461.23000000001</v>
      </c>
      <c r="AQ22" s="4"/>
      <c r="AR22" s="4">
        <v>139461.23000000001</v>
      </c>
      <c r="AS22" s="4"/>
      <c r="AT22" s="4">
        <v>3064.3</v>
      </c>
      <c r="AU22" s="4">
        <v>3064.3</v>
      </c>
      <c r="AV22" s="4"/>
      <c r="AW22" s="4">
        <v>76438.559999999998</v>
      </c>
      <c r="AX22" s="4"/>
      <c r="AY22" s="4">
        <v>76438.559999999998</v>
      </c>
      <c r="AZ22" s="4"/>
      <c r="BA22" s="4"/>
      <c r="BB22" s="4"/>
      <c r="BC22" s="4">
        <v>890553.08000000007</v>
      </c>
      <c r="BD22" s="4"/>
      <c r="BE22" s="4">
        <v>35163.519999999997</v>
      </c>
      <c r="BF22" s="4"/>
      <c r="BG22" s="4">
        <v>35163.519999999997</v>
      </c>
      <c r="BH22" s="4"/>
      <c r="BI22" s="4"/>
      <c r="BJ22" s="4"/>
      <c r="BK22" s="4">
        <v>35163.519999999997</v>
      </c>
      <c r="BL22" s="4"/>
      <c r="BM22" s="4"/>
      <c r="BN22" s="4"/>
      <c r="BO22" s="4"/>
      <c r="BP22" s="4"/>
      <c r="BQ22" s="4"/>
      <c r="BR22" s="4"/>
      <c r="BS22" s="4"/>
      <c r="BT22" s="4"/>
      <c r="BU22" s="4"/>
      <c r="BV22" s="4"/>
      <c r="BW22" s="4"/>
      <c r="BX22" s="4"/>
      <c r="BY22" s="4"/>
      <c r="BZ22" s="4"/>
      <c r="CA22" s="4"/>
      <c r="CB22" s="4"/>
      <c r="CC22" s="4">
        <v>1219029.8600000001</v>
      </c>
      <c r="CD22" s="1"/>
      <c r="CE22" s="1"/>
    </row>
    <row r="23" spans="4:83">
      <c r="D23" s="2">
        <v>41666</v>
      </c>
      <c r="E23" s="11">
        <f t="shared" si="7"/>
        <v>1266474.5600000003</v>
      </c>
      <c r="F23" s="4">
        <f t="shared" si="8"/>
        <v>922959.1100000001</v>
      </c>
      <c r="G23" s="4">
        <f t="shared" si="0"/>
        <v>0.72876245536270379</v>
      </c>
      <c r="H23" s="4">
        <f t="shared" si="1"/>
        <v>0</v>
      </c>
      <c r="I23" s="4">
        <f t="shared" si="2"/>
        <v>0</v>
      </c>
      <c r="J23" s="4">
        <f t="shared" si="9"/>
        <v>0</v>
      </c>
      <c r="K23" s="4">
        <f t="shared" si="10"/>
        <v>0</v>
      </c>
      <c r="L23" s="4">
        <f t="shared" si="11"/>
        <v>0</v>
      </c>
      <c r="M23" s="4">
        <f t="shared" si="3"/>
        <v>0</v>
      </c>
      <c r="N23" s="4">
        <f t="shared" si="12"/>
        <v>0</v>
      </c>
      <c r="O23" s="4">
        <f t="shared" si="4"/>
        <v>0</v>
      </c>
      <c r="P23" s="4">
        <f t="shared" si="13"/>
        <v>922959.1100000001</v>
      </c>
      <c r="Q23" s="4">
        <f t="shared" si="5"/>
        <v>0.72876245536270379</v>
      </c>
      <c r="R23" s="4">
        <v>19</v>
      </c>
      <c r="S23" s="4">
        <f t="shared" si="14"/>
        <v>924432.87432425306</v>
      </c>
      <c r="T23" s="4">
        <f t="shared" si="15"/>
        <v>0.72992613000000006</v>
      </c>
      <c r="U23" s="11">
        <f t="shared" si="6"/>
        <v>343515.45000000019</v>
      </c>
      <c r="V23" s="11">
        <f t="shared" si="16"/>
        <v>0.27123754463729621</v>
      </c>
      <c r="W23" s="11">
        <f t="shared" si="17"/>
        <v>0.27007386999999994</v>
      </c>
      <c r="Y23" s="3">
        <v>41666</v>
      </c>
      <c r="Z23" s="4"/>
      <c r="AA23" s="4">
        <v>46624.959999999999</v>
      </c>
      <c r="AB23" s="4"/>
      <c r="AC23" s="4">
        <v>46624.959999999999</v>
      </c>
      <c r="AD23" s="4"/>
      <c r="AE23" s="4"/>
      <c r="AF23" s="4">
        <v>46624.959999999999</v>
      </c>
      <c r="AG23" s="4"/>
      <c r="AH23" s="4">
        <v>392747.78</v>
      </c>
      <c r="AI23" s="4"/>
      <c r="AJ23" s="4">
        <v>392747.78</v>
      </c>
      <c r="AK23" s="4"/>
      <c r="AL23" s="4">
        <v>309420.32</v>
      </c>
      <c r="AM23" s="4"/>
      <c r="AN23" s="4">
        <v>309420.32</v>
      </c>
      <c r="AO23" s="4"/>
      <c r="AP23" s="4">
        <v>141357.98000000001</v>
      </c>
      <c r="AQ23" s="4"/>
      <c r="AR23" s="4">
        <v>141357.98000000001</v>
      </c>
      <c r="AS23" s="4"/>
      <c r="AT23" s="4">
        <v>1089.27</v>
      </c>
      <c r="AU23" s="4">
        <v>1089.27</v>
      </c>
      <c r="AV23" s="4"/>
      <c r="AW23" s="4">
        <v>78343.759999999995</v>
      </c>
      <c r="AX23" s="4"/>
      <c r="AY23" s="4">
        <v>78343.759999999995</v>
      </c>
      <c r="AZ23" s="4"/>
      <c r="BA23" s="4"/>
      <c r="BB23" s="4"/>
      <c r="BC23" s="4">
        <v>922959.1100000001</v>
      </c>
      <c r="BD23" s="4"/>
      <c r="BE23" s="4">
        <v>36462</v>
      </c>
      <c r="BF23" s="4"/>
      <c r="BG23" s="4">
        <v>36462</v>
      </c>
      <c r="BH23" s="4"/>
      <c r="BI23" s="4"/>
      <c r="BJ23" s="4"/>
      <c r="BK23" s="4">
        <v>36462</v>
      </c>
      <c r="BL23" s="4"/>
      <c r="BM23" s="4"/>
      <c r="BN23" s="4"/>
      <c r="BO23" s="4"/>
      <c r="BP23" s="4"/>
      <c r="BQ23" s="4"/>
      <c r="BR23" s="4"/>
      <c r="BS23" s="4"/>
      <c r="BT23" s="4"/>
      <c r="BU23" s="4"/>
      <c r="BV23" s="4"/>
      <c r="BW23" s="4"/>
      <c r="BX23" s="4"/>
      <c r="BY23" s="4"/>
      <c r="BZ23" s="4"/>
      <c r="CA23" s="4"/>
      <c r="CB23" s="4"/>
      <c r="CC23" s="4">
        <v>1266474.5600000003</v>
      </c>
      <c r="CD23" s="1"/>
      <c r="CE23" s="1"/>
    </row>
    <row r="24" spans="4:83">
      <c r="D24" s="2">
        <v>41673</v>
      </c>
      <c r="E24" s="11">
        <f t="shared" si="7"/>
        <v>1171588.9199999997</v>
      </c>
      <c r="F24" s="4">
        <f t="shared" si="8"/>
        <v>847076.98</v>
      </c>
      <c r="G24" s="4">
        <f t="shared" si="0"/>
        <v>0.72301552664052182</v>
      </c>
      <c r="H24" s="4">
        <f t="shared" si="1"/>
        <v>0</v>
      </c>
      <c r="I24" s="4">
        <f t="shared" si="2"/>
        <v>0</v>
      </c>
      <c r="J24" s="4">
        <f t="shared" si="9"/>
        <v>0</v>
      </c>
      <c r="K24" s="4">
        <f t="shared" si="10"/>
        <v>0</v>
      </c>
      <c r="L24" s="4">
        <f t="shared" si="11"/>
        <v>0</v>
      </c>
      <c r="M24" s="4">
        <f t="shared" si="3"/>
        <v>0</v>
      </c>
      <c r="N24" s="4">
        <f t="shared" si="12"/>
        <v>0</v>
      </c>
      <c r="O24" s="4">
        <f t="shared" si="4"/>
        <v>0</v>
      </c>
      <c r="P24" s="4">
        <f t="shared" si="13"/>
        <v>847076.98</v>
      </c>
      <c r="Q24" s="4">
        <f t="shared" si="5"/>
        <v>0.72301552664052182</v>
      </c>
      <c r="R24" s="4">
        <v>20</v>
      </c>
      <c r="S24" s="4">
        <f t="shared" si="14"/>
        <v>855570.85129936785</v>
      </c>
      <c r="T24" s="4">
        <f t="shared" si="15"/>
        <v>0.73026540000000006</v>
      </c>
      <c r="U24" s="11">
        <f t="shared" si="6"/>
        <v>324511.93999999971</v>
      </c>
      <c r="V24" s="11">
        <f t="shared" si="16"/>
        <v>0.27698447335947818</v>
      </c>
      <c r="W24" s="11">
        <f t="shared" si="17"/>
        <v>0.26973459999999994</v>
      </c>
      <c r="Y24" s="3">
        <v>41673</v>
      </c>
      <c r="Z24" s="4"/>
      <c r="AA24" s="4">
        <v>44533.56</v>
      </c>
      <c r="AB24" s="4"/>
      <c r="AC24" s="4">
        <v>44533.56</v>
      </c>
      <c r="AD24" s="4"/>
      <c r="AE24" s="4"/>
      <c r="AF24" s="4">
        <v>44533.56</v>
      </c>
      <c r="AG24" s="4"/>
      <c r="AH24" s="4">
        <v>363485.43</v>
      </c>
      <c r="AI24" s="4"/>
      <c r="AJ24" s="4">
        <v>363485.43</v>
      </c>
      <c r="AK24" s="4"/>
      <c r="AL24" s="4">
        <v>268838.38</v>
      </c>
      <c r="AM24" s="4"/>
      <c r="AN24" s="4">
        <v>268838.38</v>
      </c>
      <c r="AO24" s="4"/>
      <c r="AP24" s="4">
        <v>136867.57999999999</v>
      </c>
      <c r="AQ24" s="4"/>
      <c r="AR24" s="4">
        <v>136867.57999999999</v>
      </c>
      <c r="AS24" s="4"/>
      <c r="AT24" s="4">
        <v>3927.57</v>
      </c>
      <c r="AU24" s="4">
        <v>3927.57</v>
      </c>
      <c r="AV24" s="4"/>
      <c r="AW24" s="4">
        <v>73958.02</v>
      </c>
      <c r="AX24" s="4"/>
      <c r="AY24" s="4">
        <v>73958.02</v>
      </c>
      <c r="AZ24" s="4"/>
      <c r="BA24" s="4"/>
      <c r="BB24" s="4"/>
      <c r="BC24" s="4">
        <v>847076.98</v>
      </c>
      <c r="BD24" s="4"/>
      <c r="BE24" s="4">
        <v>34159.949999999997</v>
      </c>
      <c r="BF24" s="4"/>
      <c r="BG24" s="4">
        <v>34159.949999999997</v>
      </c>
      <c r="BH24" s="4"/>
      <c r="BI24" s="4"/>
      <c r="BJ24" s="4"/>
      <c r="BK24" s="4">
        <v>34159.949999999997</v>
      </c>
      <c r="BL24" s="4"/>
      <c r="BM24" s="4"/>
      <c r="BN24" s="4"/>
      <c r="BO24" s="4"/>
      <c r="BP24" s="4"/>
      <c r="BQ24" s="4"/>
      <c r="BR24" s="4"/>
      <c r="BS24" s="4"/>
      <c r="BT24" s="4"/>
      <c r="BU24" s="4"/>
      <c r="BV24" s="4"/>
      <c r="BW24" s="4"/>
      <c r="BX24" s="4"/>
      <c r="BY24" s="4"/>
      <c r="BZ24" s="4"/>
      <c r="CA24" s="4"/>
      <c r="CB24" s="4"/>
      <c r="CC24" s="4">
        <v>1171588.9199999997</v>
      </c>
      <c r="CD24" s="1"/>
      <c r="CE24" s="1"/>
    </row>
    <row r="25" spans="4:83">
      <c r="D25" s="2">
        <v>41680</v>
      </c>
      <c r="E25" s="11">
        <f t="shared" si="7"/>
        <v>1257695.17</v>
      </c>
      <c r="F25" s="4">
        <f t="shared" si="8"/>
        <v>924157.21</v>
      </c>
      <c r="G25" s="4">
        <f t="shared" si="0"/>
        <v>0.73480222556631114</v>
      </c>
      <c r="H25" s="4">
        <f t="shared" si="1"/>
        <v>0</v>
      </c>
      <c r="I25" s="4">
        <f t="shared" si="2"/>
        <v>0</v>
      </c>
      <c r="J25" s="4">
        <f t="shared" si="9"/>
        <v>0</v>
      </c>
      <c r="K25" s="4">
        <f t="shared" si="10"/>
        <v>0</v>
      </c>
      <c r="L25" s="4">
        <f t="shared" si="11"/>
        <v>0</v>
      </c>
      <c r="M25" s="4">
        <f t="shared" si="3"/>
        <v>0</v>
      </c>
      <c r="N25" s="4">
        <f t="shared" si="12"/>
        <v>0</v>
      </c>
      <c r="O25" s="4">
        <f t="shared" si="4"/>
        <v>0</v>
      </c>
      <c r="P25" s="4">
        <f t="shared" si="13"/>
        <v>924157.21</v>
      </c>
      <c r="Q25" s="4">
        <f t="shared" si="5"/>
        <v>0.73480222556631114</v>
      </c>
      <c r="R25" s="4">
        <v>21</v>
      </c>
      <c r="S25" s="4">
        <f t="shared" si="14"/>
        <v>918877.9646384439</v>
      </c>
      <c r="T25" s="4">
        <f t="shared" si="15"/>
        <v>0.73060467000000007</v>
      </c>
      <c r="U25" s="11">
        <f t="shared" si="6"/>
        <v>333537.95999999996</v>
      </c>
      <c r="V25" s="11">
        <f t="shared" si="16"/>
        <v>0.26519777443368886</v>
      </c>
      <c r="W25" s="11">
        <f t="shared" si="17"/>
        <v>0.26939532999999993</v>
      </c>
      <c r="Y25" s="3">
        <v>41680</v>
      </c>
      <c r="Z25" s="4"/>
      <c r="AA25" s="4">
        <v>47024.21</v>
      </c>
      <c r="AB25" s="4"/>
      <c r="AC25" s="4">
        <v>47024.21</v>
      </c>
      <c r="AD25" s="4"/>
      <c r="AE25" s="4"/>
      <c r="AF25" s="4">
        <v>47024.21</v>
      </c>
      <c r="AG25" s="4"/>
      <c r="AH25" s="4">
        <v>410229.1</v>
      </c>
      <c r="AI25" s="4"/>
      <c r="AJ25" s="4">
        <v>410229.1</v>
      </c>
      <c r="AK25" s="4"/>
      <c r="AL25" s="4">
        <v>285171.82</v>
      </c>
      <c r="AM25" s="4"/>
      <c r="AN25" s="4">
        <v>285171.82</v>
      </c>
      <c r="AO25" s="4"/>
      <c r="AP25" s="4">
        <v>145599.12</v>
      </c>
      <c r="AQ25" s="4"/>
      <c r="AR25" s="4">
        <v>145599.12</v>
      </c>
      <c r="AS25" s="4"/>
      <c r="AT25" s="4">
        <v>4121.41</v>
      </c>
      <c r="AU25" s="4">
        <v>4121.41</v>
      </c>
      <c r="AV25" s="4"/>
      <c r="AW25" s="4">
        <v>79035.759999999995</v>
      </c>
      <c r="AX25" s="4"/>
      <c r="AY25" s="4">
        <v>79035.759999999995</v>
      </c>
      <c r="AZ25" s="4"/>
      <c r="BA25" s="4"/>
      <c r="BB25" s="4"/>
      <c r="BC25" s="4">
        <v>924157.21</v>
      </c>
      <c r="BD25" s="4"/>
      <c r="BE25" s="4">
        <v>36034.86</v>
      </c>
      <c r="BF25" s="4"/>
      <c r="BG25" s="4">
        <v>36034.86</v>
      </c>
      <c r="BH25" s="4"/>
      <c r="BI25" s="4"/>
      <c r="BJ25" s="4"/>
      <c r="BK25" s="4">
        <v>36034.86</v>
      </c>
      <c r="BL25" s="4"/>
      <c r="BM25" s="4"/>
      <c r="BN25" s="4"/>
      <c r="BO25" s="4"/>
      <c r="BP25" s="4"/>
      <c r="BQ25" s="4"/>
      <c r="BR25" s="4"/>
      <c r="BS25" s="4"/>
      <c r="BT25" s="4"/>
      <c r="BU25" s="4"/>
      <c r="BV25" s="4"/>
      <c r="BW25" s="4"/>
      <c r="BX25" s="4"/>
      <c r="BY25" s="4"/>
      <c r="BZ25" s="4"/>
      <c r="CA25" s="4"/>
      <c r="CB25" s="4"/>
      <c r="CC25" s="4">
        <v>1257695.17</v>
      </c>
      <c r="CD25" s="1"/>
      <c r="CE25" s="1"/>
    </row>
    <row r="26" spans="4:83">
      <c r="D26" s="2">
        <v>41687</v>
      </c>
      <c r="E26" s="11">
        <f t="shared" si="7"/>
        <v>1384391.2399999998</v>
      </c>
      <c r="F26" s="4">
        <f t="shared" si="8"/>
        <v>1018155.77</v>
      </c>
      <c r="G26" s="4">
        <f t="shared" si="0"/>
        <v>0.73545377966997261</v>
      </c>
      <c r="H26" s="4">
        <f t="shared" si="1"/>
        <v>0</v>
      </c>
      <c r="I26" s="4">
        <f t="shared" si="2"/>
        <v>0</v>
      </c>
      <c r="J26" s="4">
        <f t="shared" si="9"/>
        <v>0</v>
      </c>
      <c r="K26" s="4">
        <f t="shared" si="10"/>
        <v>0</v>
      </c>
      <c r="L26" s="4">
        <f t="shared" si="11"/>
        <v>0</v>
      </c>
      <c r="M26" s="4">
        <f t="shared" si="3"/>
        <v>0</v>
      </c>
      <c r="N26" s="4">
        <f t="shared" si="12"/>
        <v>0</v>
      </c>
      <c r="O26" s="4">
        <f t="shared" si="4"/>
        <v>0</v>
      </c>
      <c r="P26" s="4">
        <f t="shared" si="13"/>
        <v>1018155.77</v>
      </c>
      <c r="Q26" s="4">
        <f t="shared" si="5"/>
        <v>0.73545377966997261</v>
      </c>
      <c r="R26" s="4">
        <v>22</v>
      </c>
      <c r="S26" s="4">
        <f t="shared" si="14"/>
        <v>1011912.3874670854</v>
      </c>
      <c r="T26" s="4">
        <f t="shared" si="15"/>
        <v>0.73094393999999996</v>
      </c>
      <c r="U26" s="11">
        <f t="shared" si="6"/>
        <v>366235.46999999974</v>
      </c>
      <c r="V26" s="11">
        <f t="shared" si="16"/>
        <v>0.26454622033002739</v>
      </c>
      <c r="W26" s="11">
        <f t="shared" si="17"/>
        <v>0.26905606000000004</v>
      </c>
      <c r="Y26" s="3">
        <v>41687</v>
      </c>
      <c r="Z26" s="4"/>
      <c r="AA26" s="4">
        <v>52686.87</v>
      </c>
      <c r="AB26" s="4"/>
      <c r="AC26" s="4">
        <v>52686.87</v>
      </c>
      <c r="AD26" s="4"/>
      <c r="AE26" s="4"/>
      <c r="AF26" s="4">
        <v>52686.87</v>
      </c>
      <c r="AG26" s="4"/>
      <c r="AH26" s="4">
        <v>432093.57</v>
      </c>
      <c r="AI26" s="4"/>
      <c r="AJ26" s="4">
        <v>432093.57</v>
      </c>
      <c r="AK26" s="4"/>
      <c r="AL26" s="4">
        <v>331999.42</v>
      </c>
      <c r="AM26" s="4"/>
      <c r="AN26" s="4">
        <v>331999.42</v>
      </c>
      <c r="AO26" s="4"/>
      <c r="AP26" s="4">
        <v>160500.06</v>
      </c>
      <c r="AQ26" s="4"/>
      <c r="AR26" s="4">
        <v>160500.06</v>
      </c>
      <c r="AS26" s="4"/>
      <c r="AT26" s="4">
        <v>4548.95</v>
      </c>
      <c r="AU26" s="4">
        <v>4548.95</v>
      </c>
      <c r="AV26" s="4"/>
      <c r="AW26" s="4">
        <v>89013.77</v>
      </c>
      <c r="AX26" s="4"/>
      <c r="AY26" s="4">
        <v>89013.77</v>
      </c>
      <c r="AZ26" s="4"/>
      <c r="BA26" s="4"/>
      <c r="BB26" s="4"/>
      <c r="BC26" s="4">
        <v>1018155.77</v>
      </c>
      <c r="BD26" s="4"/>
      <c r="BE26" s="4">
        <v>40236.720000000001</v>
      </c>
      <c r="BF26" s="4"/>
      <c r="BG26" s="4">
        <v>40236.720000000001</v>
      </c>
      <c r="BH26" s="4"/>
      <c r="BI26" s="4"/>
      <c r="BJ26" s="4"/>
      <c r="BK26" s="4">
        <v>40236.720000000001</v>
      </c>
      <c r="BL26" s="4"/>
      <c r="BM26" s="4"/>
      <c r="BN26" s="4"/>
      <c r="BO26" s="4"/>
      <c r="BP26" s="4"/>
      <c r="BQ26" s="4"/>
      <c r="BR26" s="4"/>
      <c r="BS26" s="4"/>
      <c r="BT26" s="4"/>
      <c r="BU26" s="4"/>
      <c r="BV26" s="4"/>
      <c r="BW26" s="4"/>
      <c r="BX26" s="4"/>
      <c r="BY26" s="4"/>
      <c r="BZ26" s="4"/>
      <c r="CA26" s="4"/>
      <c r="CB26" s="4"/>
      <c r="CC26" s="4">
        <v>1384391.2399999998</v>
      </c>
      <c r="CD26" s="1"/>
      <c r="CE26" s="1"/>
    </row>
    <row r="27" spans="4:83">
      <c r="D27" s="2">
        <v>41694</v>
      </c>
      <c r="E27" s="11">
        <f t="shared" si="7"/>
        <v>1488843.55</v>
      </c>
      <c r="F27" s="4">
        <f t="shared" si="8"/>
        <v>1097301.24</v>
      </c>
      <c r="G27" s="4">
        <f t="shared" si="0"/>
        <v>0.7370158133807948</v>
      </c>
      <c r="H27" s="4">
        <f t="shared" si="1"/>
        <v>0</v>
      </c>
      <c r="I27" s="4">
        <f t="shared" si="2"/>
        <v>0</v>
      </c>
      <c r="J27" s="4">
        <f t="shared" si="9"/>
        <v>0</v>
      </c>
      <c r="K27" s="4">
        <f t="shared" si="10"/>
        <v>0</v>
      </c>
      <c r="L27" s="4">
        <f t="shared" si="11"/>
        <v>0</v>
      </c>
      <c r="M27" s="4">
        <f t="shared" si="3"/>
        <v>0</v>
      </c>
      <c r="N27" s="4">
        <f t="shared" si="12"/>
        <v>0</v>
      </c>
      <c r="O27" s="4">
        <f t="shared" si="4"/>
        <v>0</v>
      </c>
      <c r="P27" s="4">
        <f t="shared" si="13"/>
        <v>1097301.24</v>
      </c>
      <c r="Q27" s="4">
        <f t="shared" si="5"/>
        <v>0.7370158133807948</v>
      </c>
      <c r="R27" s="4">
        <v>23</v>
      </c>
      <c r="S27" s="4">
        <f t="shared" si="14"/>
        <v>1088766.2904317954</v>
      </c>
      <c r="T27" s="4">
        <f t="shared" si="15"/>
        <v>0.73128320999999996</v>
      </c>
      <c r="U27" s="11">
        <f t="shared" si="6"/>
        <v>391542.31000000006</v>
      </c>
      <c r="V27" s="11">
        <f t="shared" si="16"/>
        <v>0.26298418661920525</v>
      </c>
      <c r="W27" s="11">
        <f t="shared" si="17"/>
        <v>0.26871679000000004</v>
      </c>
      <c r="Y27" s="3">
        <v>41694</v>
      </c>
      <c r="Z27" s="4"/>
      <c r="AA27" s="4">
        <v>55244.85</v>
      </c>
      <c r="AB27" s="4"/>
      <c r="AC27" s="4">
        <v>55244.85</v>
      </c>
      <c r="AD27" s="4"/>
      <c r="AE27" s="4"/>
      <c r="AF27" s="4">
        <v>55244.85</v>
      </c>
      <c r="AG27" s="4"/>
      <c r="AH27" s="4">
        <v>448596.28</v>
      </c>
      <c r="AI27" s="4"/>
      <c r="AJ27" s="4">
        <v>448596.28</v>
      </c>
      <c r="AK27" s="4"/>
      <c r="AL27" s="4">
        <v>374642.71</v>
      </c>
      <c r="AM27" s="4"/>
      <c r="AN27" s="4">
        <v>374642.71</v>
      </c>
      <c r="AO27" s="4"/>
      <c r="AP27" s="4">
        <v>175529.52</v>
      </c>
      <c r="AQ27" s="4"/>
      <c r="AR27" s="4">
        <v>175529.52</v>
      </c>
      <c r="AS27" s="4"/>
      <c r="AT27" s="4">
        <v>5059.84</v>
      </c>
      <c r="AU27" s="4">
        <v>5059.84</v>
      </c>
      <c r="AV27" s="4"/>
      <c r="AW27" s="4">
        <v>93472.89</v>
      </c>
      <c r="AX27" s="4"/>
      <c r="AY27" s="4">
        <v>93472.89</v>
      </c>
      <c r="AZ27" s="4"/>
      <c r="BA27" s="4"/>
      <c r="BB27" s="4"/>
      <c r="BC27" s="4">
        <v>1097301.24</v>
      </c>
      <c r="BD27" s="4"/>
      <c r="BE27" s="4">
        <v>42214.22</v>
      </c>
      <c r="BF27" s="4"/>
      <c r="BG27" s="4">
        <v>42214.22</v>
      </c>
      <c r="BH27" s="4"/>
      <c r="BI27" s="4"/>
      <c r="BJ27" s="4"/>
      <c r="BK27" s="4">
        <v>42214.22</v>
      </c>
      <c r="BL27" s="4"/>
      <c r="BM27" s="4"/>
      <c r="BN27" s="4"/>
      <c r="BO27" s="4"/>
      <c r="BP27" s="4"/>
      <c r="BQ27" s="4"/>
      <c r="BR27" s="4"/>
      <c r="BS27" s="4"/>
      <c r="BT27" s="4"/>
      <c r="BU27" s="4"/>
      <c r="BV27" s="4"/>
      <c r="BW27" s="4"/>
      <c r="BX27" s="4"/>
      <c r="BY27" s="4"/>
      <c r="BZ27" s="4"/>
      <c r="CA27" s="4"/>
      <c r="CB27" s="4"/>
      <c r="CC27" s="4">
        <v>1488843.55</v>
      </c>
      <c r="CD27" s="1"/>
      <c r="CE27" s="1"/>
    </row>
    <row r="28" spans="4:83">
      <c r="D28" s="2">
        <v>41701</v>
      </c>
      <c r="E28" s="11">
        <f t="shared" si="7"/>
        <v>1491156.9000000001</v>
      </c>
      <c r="F28" s="4">
        <f t="shared" si="8"/>
        <v>1095376.31</v>
      </c>
      <c r="G28" s="4">
        <f t="shared" si="0"/>
        <v>0.73458152525733544</v>
      </c>
      <c r="H28" s="4">
        <f t="shared" si="1"/>
        <v>0</v>
      </c>
      <c r="I28" s="4">
        <f t="shared" si="2"/>
        <v>0</v>
      </c>
      <c r="J28" s="4">
        <f t="shared" si="9"/>
        <v>0</v>
      </c>
      <c r="K28" s="4">
        <f t="shared" si="10"/>
        <v>0</v>
      </c>
      <c r="L28" s="4">
        <f t="shared" si="11"/>
        <v>0</v>
      </c>
      <c r="M28" s="4">
        <f t="shared" si="3"/>
        <v>0</v>
      </c>
      <c r="N28" s="4">
        <f t="shared" si="12"/>
        <v>0</v>
      </c>
      <c r="O28" s="4">
        <f t="shared" si="4"/>
        <v>0</v>
      </c>
      <c r="P28" s="4">
        <f t="shared" si="13"/>
        <v>1095376.31</v>
      </c>
      <c r="Q28" s="4">
        <f t="shared" si="5"/>
        <v>0.73458152525733544</v>
      </c>
      <c r="R28" s="4">
        <v>24</v>
      </c>
      <c r="S28" s="4">
        <f t="shared" si="14"/>
        <v>1090963.909247112</v>
      </c>
      <c r="T28" s="4">
        <f t="shared" si="15"/>
        <v>0.73162247999999996</v>
      </c>
      <c r="U28" s="11">
        <f t="shared" si="6"/>
        <v>395780.59000000008</v>
      </c>
      <c r="V28" s="11">
        <f t="shared" si="16"/>
        <v>0.26541847474266461</v>
      </c>
      <c r="W28" s="11">
        <f t="shared" si="17"/>
        <v>0.26837752000000004</v>
      </c>
      <c r="Y28" s="3">
        <v>41701</v>
      </c>
      <c r="Z28" s="4"/>
      <c r="AA28" s="4">
        <v>60046.34</v>
      </c>
      <c r="AB28" s="4"/>
      <c r="AC28" s="4">
        <v>60046.34</v>
      </c>
      <c r="AD28" s="4"/>
      <c r="AE28" s="4"/>
      <c r="AF28" s="4">
        <v>60046.34</v>
      </c>
      <c r="AG28" s="4"/>
      <c r="AH28" s="4">
        <v>503932.7</v>
      </c>
      <c r="AI28" s="4"/>
      <c r="AJ28" s="4">
        <v>503932.7</v>
      </c>
      <c r="AK28" s="4"/>
      <c r="AL28" s="4">
        <v>338739.59</v>
      </c>
      <c r="AM28" s="4"/>
      <c r="AN28" s="4">
        <v>338739.59</v>
      </c>
      <c r="AO28" s="4"/>
      <c r="AP28" s="4">
        <v>160323.88</v>
      </c>
      <c r="AQ28" s="4"/>
      <c r="AR28" s="4">
        <v>160323.88</v>
      </c>
      <c r="AS28" s="4"/>
      <c r="AT28" s="4">
        <v>4968.38</v>
      </c>
      <c r="AU28" s="4">
        <v>4968.38</v>
      </c>
      <c r="AV28" s="4"/>
      <c r="AW28" s="4">
        <v>87411.76</v>
      </c>
      <c r="AX28" s="4"/>
      <c r="AY28" s="4">
        <v>87411.76</v>
      </c>
      <c r="AZ28" s="4"/>
      <c r="BA28" s="4"/>
      <c r="BB28" s="4"/>
      <c r="BC28" s="4">
        <v>1095376.31</v>
      </c>
      <c r="BD28" s="4"/>
      <c r="BE28" s="4">
        <v>46726.27</v>
      </c>
      <c r="BF28" s="4"/>
      <c r="BG28" s="4">
        <v>46726.27</v>
      </c>
      <c r="BH28" s="4"/>
      <c r="BI28" s="4"/>
      <c r="BJ28" s="4"/>
      <c r="BK28" s="4">
        <v>46726.27</v>
      </c>
      <c r="BL28" s="4"/>
      <c r="BM28" s="4"/>
      <c r="BN28" s="4"/>
      <c r="BO28" s="4"/>
      <c r="BP28" s="4"/>
      <c r="BQ28" s="4"/>
      <c r="BR28" s="4"/>
      <c r="BS28" s="4"/>
      <c r="BT28" s="4"/>
      <c r="BU28" s="4"/>
      <c r="BV28" s="4"/>
      <c r="BW28" s="4"/>
      <c r="BX28" s="4"/>
      <c r="BY28" s="4"/>
      <c r="BZ28" s="4"/>
      <c r="CA28" s="4"/>
      <c r="CB28" s="4"/>
      <c r="CC28" s="4">
        <v>1491156.9000000001</v>
      </c>
      <c r="CD28" s="1"/>
      <c r="CE28" s="1"/>
    </row>
    <row r="29" spans="4:83">
      <c r="D29" s="2">
        <v>41708</v>
      </c>
      <c r="E29" s="11">
        <f t="shared" si="7"/>
        <v>1546794.6700000004</v>
      </c>
      <c r="F29" s="4">
        <f t="shared" si="8"/>
        <v>1143061.71</v>
      </c>
      <c r="G29" s="4">
        <f t="shared" si="0"/>
        <v>0.7389873602292667</v>
      </c>
      <c r="H29" s="4">
        <f t="shared" si="1"/>
        <v>0</v>
      </c>
      <c r="I29" s="4">
        <f t="shared" si="2"/>
        <v>0</v>
      </c>
      <c r="J29" s="4">
        <f t="shared" si="9"/>
        <v>0</v>
      </c>
      <c r="K29" s="4">
        <f t="shared" si="10"/>
        <v>0</v>
      </c>
      <c r="L29" s="4">
        <f t="shared" si="11"/>
        <v>0</v>
      </c>
      <c r="M29" s="4">
        <f t="shared" si="3"/>
        <v>0</v>
      </c>
      <c r="N29" s="4">
        <f t="shared" si="12"/>
        <v>0</v>
      </c>
      <c r="O29" s="4">
        <f t="shared" si="4"/>
        <v>0</v>
      </c>
      <c r="P29" s="4">
        <f t="shared" si="13"/>
        <v>1143061.71</v>
      </c>
      <c r="Q29" s="4">
        <f t="shared" si="5"/>
        <v>0.7389873602292667</v>
      </c>
      <c r="R29" s="4">
        <v>25</v>
      </c>
      <c r="S29" s="4">
        <f t="shared" si="14"/>
        <v>1132194.5335438726</v>
      </c>
      <c r="T29" s="4">
        <f t="shared" si="15"/>
        <v>0.73196174999999997</v>
      </c>
      <c r="U29" s="11">
        <f t="shared" si="6"/>
        <v>403732.96000000043</v>
      </c>
      <c r="V29" s="11">
        <f t="shared" si="16"/>
        <v>0.2610126397707333</v>
      </c>
      <c r="W29" s="11">
        <f t="shared" si="17"/>
        <v>0.26803825000000003</v>
      </c>
      <c r="Y29" s="3">
        <v>41708</v>
      </c>
      <c r="Z29" s="4"/>
      <c r="AA29" s="4">
        <v>61376.14</v>
      </c>
      <c r="AB29" s="4"/>
      <c r="AC29" s="4">
        <v>61376.14</v>
      </c>
      <c r="AD29" s="4"/>
      <c r="AE29" s="4"/>
      <c r="AF29" s="4">
        <v>61376.14</v>
      </c>
      <c r="AG29" s="4"/>
      <c r="AH29" s="4">
        <v>499287.31</v>
      </c>
      <c r="AI29" s="4"/>
      <c r="AJ29" s="4">
        <v>499287.31</v>
      </c>
      <c r="AK29" s="4"/>
      <c r="AL29" s="4">
        <v>367995.89</v>
      </c>
      <c r="AM29" s="4"/>
      <c r="AN29" s="4">
        <v>367995.89</v>
      </c>
      <c r="AO29" s="4"/>
      <c r="AP29" s="4">
        <v>172596.81</v>
      </c>
      <c r="AQ29" s="4"/>
      <c r="AR29" s="4">
        <v>172596.81</v>
      </c>
      <c r="AS29" s="4"/>
      <c r="AT29" s="4">
        <v>5185.1400000000003</v>
      </c>
      <c r="AU29" s="4">
        <v>5185.1400000000003</v>
      </c>
      <c r="AV29" s="4"/>
      <c r="AW29" s="4">
        <v>97996.56</v>
      </c>
      <c r="AX29" s="4"/>
      <c r="AY29" s="4">
        <v>97996.56</v>
      </c>
      <c r="AZ29" s="4"/>
      <c r="BA29" s="4"/>
      <c r="BB29" s="4"/>
      <c r="BC29" s="4">
        <v>1143061.71</v>
      </c>
      <c r="BD29" s="4"/>
      <c r="BE29" s="4">
        <v>47050.87</v>
      </c>
      <c r="BF29" s="4"/>
      <c r="BG29" s="4">
        <v>47050.87</v>
      </c>
      <c r="BH29" s="4"/>
      <c r="BI29" s="4"/>
      <c r="BJ29" s="4"/>
      <c r="BK29" s="4">
        <v>47050.87</v>
      </c>
      <c r="BL29" s="4"/>
      <c r="BM29" s="4"/>
      <c r="BN29" s="4"/>
      <c r="BO29" s="4"/>
      <c r="BP29" s="4"/>
      <c r="BQ29" s="4"/>
      <c r="BR29" s="4"/>
      <c r="BS29" s="4"/>
      <c r="BT29" s="4"/>
      <c r="BU29" s="4"/>
      <c r="BV29" s="4"/>
      <c r="BW29" s="4"/>
      <c r="BX29" s="4"/>
      <c r="BY29" s="4"/>
      <c r="BZ29" s="4"/>
      <c r="CA29" s="4"/>
      <c r="CB29" s="4"/>
      <c r="CC29" s="4">
        <v>1546794.6700000004</v>
      </c>
      <c r="CD29" s="1"/>
      <c r="CE29" s="1"/>
    </row>
    <row r="30" spans="4:83">
      <c r="D30" s="2">
        <v>41715</v>
      </c>
      <c r="E30" s="11">
        <f t="shared" si="7"/>
        <v>1543859.6500000004</v>
      </c>
      <c r="F30" s="4">
        <f t="shared" si="8"/>
        <v>1134819.99</v>
      </c>
      <c r="G30" s="4">
        <f t="shared" si="0"/>
        <v>0.73505385674144652</v>
      </c>
      <c r="H30" s="4">
        <f t="shared" si="1"/>
        <v>0</v>
      </c>
      <c r="I30" s="4">
        <f t="shared" si="2"/>
        <v>0</v>
      </c>
      <c r="J30" s="4">
        <f t="shared" si="9"/>
        <v>0</v>
      </c>
      <c r="K30" s="4">
        <f t="shared" si="10"/>
        <v>0</v>
      </c>
      <c r="L30" s="4">
        <f t="shared" si="11"/>
        <v>0</v>
      </c>
      <c r="M30" s="4">
        <f t="shared" si="3"/>
        <v>0</v>
      </c>
      <c r="N30" s="4">
        <f t="shared" si="12"/>
        <v>0</v>
      </c>
      <c r="O30" s="4">
        <f t="shared" si="4"/>
        <v>0</v>
      </c>
      <c r="P30" s="4">
        <f t="shared" si="13"/>
        <v>1134819.99</v>
      </c>
      <c r="Q30" s="4">
        <f t="shared" si="5"/>
        <v>0.73505385674144652</v>
      </c>
      <c r="R30" s="4">
        <v>26</v>
      </c>
      <c r="S30" s="4">
        <f t="shared" si="14"/>
        <v>1130569.9964318431</v>
      </c>
      <c r="T30" s="4">
        <f t="shared" si="15"/>
        <v>0.73230101999999997</v>
      </c>
      <c r="U30" s="11">
        <f t="shared" si="6"/>
        <v>409039.66000000038</v>
      </c>
      <c r="V30" s="11">
        <f t="shared" si="16"/>
        <v>0.26494614325855353</v>
      </c>
      <c r="W30" s="11">
        <f t="shared" si="17"/>
        <v>0.26769898000000003</v>
      </c>
      <c r="Y30" s="3">
        <v>41715</v>
      </c>
      <c r="Z30" s="4"/>
      <c r="AA30" s="4">
        <v>60153.54</v>
      </c>
      <c r="AB30" s="4"/>
      <c r="AC30" s="4">
        <v>60153.54</v>
      </c>
      <c r="AD30" s="4"/>
      <c r="AE30" s="4"/>
      <c r="AF30" s="4">
        <v>60153.54</v>
      </c>
      <c r="AG30" s="4"/>
      <c r="AH30" s="4">
        <v>495774.36</v>
      </c>
      <c r="AI30" s="4"/>
      <c r="AJ30" s="4">
        <v>495774.36</v>
      </c>
      <c r="AK30" s="4"/>
      <c r="AL30" s="4">
        <v>367634.08</v>
      </c>
      <c r="AM30" s="4"/>
      <c r="AN30" s="4">
        <v>367634.08</v>
      </c>
      <c r="AO30" s="4"/>
      <c r="AP30" s="4">
        <v>169761.32</v>
      </c>
      <c r="AQ30" s="4"/>
      <c r="AR30" s="4">
        <v>169761.32</v>
      </c>
      <c r="AS30" s="4"/>
      <c r="AT30" s="4">
        <v>5358.1</v>
      </c>
      <c r="AU30" s="4">
        <v>5358.1</v>
      </c>
      <c r="AV30" s="4"/>
      <c r="AW30" s="4">
        <v>96292.13</v>
      </c>
      <c r="AX30" s="4"/>
      <c r="AY30" s="4">
        <v>96292.13</v>
      </c>
      <c r="AZ30" s="4"/>
      <c r="BA30" s="4"/>
      <c r="BB30" s="4"/>
      <c r="BC30" s="4">
        <v>1134819.99</v>
      </c>
      <c r="BD30" s="4"/>
      <c r="BE30" s="4">
        <v>45974.75</v>
      </c>
      <c r="BF30" s="4"/>
      <c r="BG30" s="4">
        <v>45974.75</v>
      </c>
      <c r="BH30" s="4"/>
      <c r="BI30" s="4"/>
      <c r="BJ30" s="4"/>
      <c r="BK30" s="4">
        <v>45974.75</v>
      </c>
      <c r="BL30" s="4"/>
      <c r="BM30" s="4"/>
      <c r="BN30" s="4"/>
      <c r="BO30" s="4"/>
      <c r="BP30" s="4"/>
      <c r="BQ30" s="4"/>
      <c r="BR30" s="4"/>
      <c r="BS30" s="4"/>
      <c r="BT30" s="4"/>
      <c r="BU30" s="4"/>
      <c r="BV30" s="4"/>
      <c r="BW30" s="4"/>
      <c r="BX30" s="4"/>
      <c r="BY30" s="4"/>
      <c r="BZ30" s="4"/>
      <c r="CA30" s="4"/>
      <c r="CB30" s="4"/>
      <c r="CC30" s="4">
        <v>1543859.6500000004</v>
      </c>
      <c r="CD30" s="1"/>
      <c r="CE30" s="1"/>
    </row>
    <row r="31" spans="4:83">
      <c r="D31" s="2">
        <v>41722</v>
      </c>
      <c r="E31" s="11">
        <f t="shared" si="7"/>
        <v>1595040.1499999994</v>
      </c>
      <c r="F31" s="4">
        <f t="shared" si="8"/>
        <v>1178157.4999999998</v>
      </c>
      <c r="G31" s="4">
        <f t="shared" si="0"/>
        <v>0.73863814650684512</v>
      </c>
      <c r="H31" s="4">
        <f t="shared" si="1"/>
        <v>0</v>
      </c>
      <c r="I31" s="4">
        <f t="shared" si="2"/>
        <v>0</v>
      </c>
      <c r="J31" s="4">
        <f t="shared" si="9"/>
        <v>0</v>
      </c>
      <c r="K31" s="4">
        <f t="shared" si="10"/>
        <v>0</v>
      </c>
      <c r="L31" s="4">
        <f t="shared" si="11"/>
        <v>0</v>
      </c>
      <c r="M31" s="4">
        <f t="shared" si="3"/>
        <v>0</v>
      </c>
      <c r="N31" s="4">
        <f t="shared" si="12"/>
        <v>0</v>
      </c>
      <c r="O31" s="4">
        <f t="shared" si="4"/>
        <v>0</v>
      </c>
      <c r="P31" s="4">
        <f t="shared" si="13"/>
        <v>1178157.4999999998</v>
      </c>
      <c r="Q31" s="4">
        <f t="shared" si="5"/>
        <v>0.73863814650684512</v>
      </c>
      <c r="R31" s="4">
        <v>27</v>
      </c>
      <c r="S31" s="4">
        <f t="shared" si="14"/>
        <v>1168590.6780576431</v>
      </c>
      <c r="T31" s="4">
        <f t="shared" si="15"/>
        <v>0.73264028999999997</v>
      </c>
      <c r="U31" s="11">
        <f t="shared" si="6"/>
        <v>416882.64999999967</v>
      </c>
      <c r="V31" s="11">
        <f t="shared" si="16"/>
        <v>0.26136185349315488</v>
      </c>
      <c r="W31" s="11">
        <f t="shared" si="17"/>
        <v>0.26735971000000003</v>
      </c>
      <c r="Y31" s="3">
        <v>41722</v>
      </c>
      <c r="Z31" s="4"/>
      <c r="AA31" s="4">
        <v>63454.75</v>
      </c>
      <c r="AB31" s="4"/>
      <c r="AC31" s="4">
        <v>63454.75</v>
      </c>
      <c r="AD31" s="4"/>
      <c r="AE31" s="4"/>
      <c r="AF31" s="4">
        <v>63454.75</v>
      </c>
      <c r="AG31" s="4"/>
      <c r="AH31" s="4">
        <v>531073.94999999995</v>
      </c>
      <c r="AI31" s="4"/>
      <c r="AJ31" s="4">
        <v>531073.94999999995</v>
      </c>
      <c r="AK31" s="4"/>
      <c r="AL31" s="4">
        <v>378548.46</v>
      </c>
      <c r="AM31" s="4"/>
      <c r="AN31" s="4">
        <v>378548.46</v>
      </c>
      <c r="AO31" s="4"/>
      <c r="AP31" s="4">
        <v>168536.75</v>
      </c>
      <c r="AQ31" s="4"/>
      <c r="AR31" s="4">
        <v>168536.75</v>
      </c>
      <c r="AS31" s="4"/>
      <c r="AT31" s="4">
        <v>5244.38</v>
      </c>
      <c r="AU31" s="4">
        <v>5244.38</v>
      </c>
      <c r="AV31" s="4"/>
      <c r="AW31" s="4">
        <v>94753.96</v>
      </c>
      <c r="AX31" s="4"/>
      <c r="AY31" s="4">
        <v>94753.96</v>
      </c>
      <c r="AZ31" s="4"/>
      <c r="BA31" s="4"/>
      <c r="BB31" s="4"/>
      <c r="BC31" s="4">
        <v>1178157.4999999998</v>
      </c>
      <c r="BD31" s="4"/>
      <c r="BE31" s="4">
        <v>48342.400000000001</v>
      </c>
      <c r="BF31" s="4"/>
      <c r="BG31" s="4">
        <v>48342.400000000001</v>
      </c>
      <c r="BH31" s="4"/>
      <c r="BI31" s="4"/>
      <c r="BJ31" s="4"/>
      <c r="BK31" s="4">
        <v>48342.400000000001</v>
      </c>
      <c r="BL31" s="4"/>
      <c r="BM31" s="4"/>
      <c r="BN31" s="4"/>
      <c r="BO31" s="4"/>
      <c r="BP31" s="4"/>
      <c r="BQ31" s="4"/>
      <c r="BR31" s="4"/>
      <c r="BS31" s="4"/>
      <c r="BT31" s="4"/>
      <c r="BU31" s="4"/>
      <c r="BV31" s="4"/>
      <c r="BW31" s="4"/>
      <c r="BX31" s="4"/>
      <c r="BY31" s="4"/>
      <c r="BZ31" s="4"/>
      <c r="CA31" s="4"/>
      <c r="CB31" s="4"/>
      <c r="CC31" s="4">
        <v>1595040.1499999994</v>
      </c>
      <c r="CD31" s="1"/>
      <c r="CE31" s="1"/>
    </row>
    <row r="32" spans="4:83">
      <c r="D32" s="2">
        <v>41729</v>
      </c>
      <c r="E32" s="11">
        <f t="shared" si="7"/>
        <v>1433568.73</v>
      </c>
      <c r="F32" s="4">
        <f t="shared" si="8"/>
        <v>1061170.57</v>
      </c>
      <c r="G32" s="4">
        <f t="shared" si="0"/>
        <v>0.74022999232133091</v>
      </c>
      <c r="H32" s="4">
        <f t="shared" si="1"/>
        <v>0</v>
      </c>
      <c r="I32" s="4">
        <f t="shared" si="2"/>
        <v>0</v>
      </c>
      <c r="J32" s="4">
        <f t="shared" si="9"/>
        <v>0</v>
      </c>
      <c r="K32" s="4">
        <f t="shared" si="10"/>
        <v>0</v>
      </c>
      <c r="L32" s="4">
        <f t="shared" si="11"/>
        <v>0</v>
      </c>
      <c r="M32" s="4">
        <f t="shared" si="3"/>
        <v>0</v>
      </c>
      <c r="N32" s="4">
        <f t="shared" si="12"/>
        <v>0</v>
      </c>
      <c r="O32" s="4">
        <f t="shared" si="4"/>
        <v>0</v>
      </c>
      <c r="P32" s="4">
        <f t="shared" si="13"/>
        <v>1061170.57</v>
      </c>
      <c r="Q32" s="4">
        <f t="shared" si="5"/>
        <v>0.74022999232133091</v>
      </c>
      <c r="R32" s="4">
        <v>28</v>
      </c>
      <c r="S32" s="4">
        <f t="shared" si="14"/>
        <v>1050776.5769451587</v>
      </c>
      <c r="T32" s="4">
        <f t="shared" si="15"/>
        <v>0.73297955999999997</v>
      </c>
      <c r="U32" s="11">
        <f t="shared" si="6"/>
        <v>372398.15999999992</v>
      </c>
      <c r="V32" s="11">
        <f t="shared" si="16"/>
        <v>0.25977000767866909</v>
      </c>
      <c r="W32" s="11">
        <f t="shared" si="17"/>
        <v>0.26702044000000003</v>
      </c>
      <c r="Y32" s="3">
        <v>41729</v>
      </c>
      <c r="Z32" s="4"/>
      <c r="AA32" s="4">
        <v>54254.9</v>
      </c>
      <c r="AB32" s="4"/>
      <c r="AC32" s="4">
        <v>54254.9</v>
      </c>
      <c r="AD32" s="4"/>
      <c r="AE32" s="4"/>
      <c r="AF32" s="4">
        <v>54254.9</v>
      </c>
      <c r="AG32" s="4"/>
      <c r="AH32" s="4">
        <v>447362.93</v>
      </c>
      <c r="AI32" s="4"/>
      <c r="AJ32" s="4">
        <v>447362.93</v>
      </c>
      <c r="AK32" s="4"/>
      <c r="AL32" s="4">
        <v>351432.52</v>
      </c>
      <c r="AM32" s="4"/>
      <c r="AN32" s="4">
        <v>351432.52</v>
      </c>
      <c r="AO32" s="4"/>
      <c r="AP32" s="4">
        <v>166884.04</v>
      </c>
      <c r="AQ32" s="4"/>
      <c r="AR32" s="4">
        <v>166884.04</v>
      </c>
      <c r="AS32" s="4"/>
      <c r="AT32" s="4">
        <v>2124.09</v>
      </c>
      <c r="AU32" s="4">
        <v>2124.09</v>
      </c>
      <c r="AV32" s="4"/>
      <c r="AW32" s="4">
        <v>93366.99</v>
      </c>
      <c r="AX32" s="4"/>
      <c r="AY32" s="4">
        <v>93366.99</v>
      </c>
      <c r="AZ32" s="4"/>
      <c r="BA32" s="4"/>
      <c r="BB32" s="4"/>
      <c r="BC32" s="4">
        <v>1061170.57</v>
      </c>
      <c r="BD32" s="4"/>
      <c r="BE32" s="4">
        <v>41075.85</v>
      </c>
      <c r="BF32" s="4"/>
      <c r="BG32" s="4">
        <v>41075.85</v>
      </c>
      <c r="BH32" s="4"/>
      <c r="BI32" s="4"/>
      <c r="BJ32" s="4"/>
      <c r="BK32" s="4">
        <v>41075.85</v>
      </c>
      <c r="BL32" s="4"/>
      <c r="BM32" s="4"/>
      <c r="BN32" s="4"/>
      <c r="BO32" s="4"/>
      <c r="BP32" s="4"/>
      <c r="BQ32" s="4"/>
      <c r="BR32" s="4"/>
      <c r="BS32" s="4"/>
      <c r="BT32" s="4"/>
      <c r="BU32" s="4"/>
      <c r="BV32" s="4"/>
      <c r="BW32" s="4"/>
      <c r="BX32" s="4"/>
      <c r="BY32" s="4"/>
      <c r="BZ32" s="4"/>
      <c r="CA32" s="4"/>
      <c r="CB32" s="4"/>
      <c r="CC32" s="4">
        <v>1433568.73</v>
      </c>
      <c r="CD32" s="1"/>
      <c r="CE32" s="1"/>
    </row>
    <row r="33" spans="4:83">
      <c r="D33" s="2">
        <v>41736</v>
      </c>
      <c r="E33" s="11">
        <f t="shared" si="7"/>
        <v>1554833.3900000001</v>
      </c>
      <c r="F33" s="4">
        <f t="shared" si="8"/>
        <v>1161573.21</v>
      </c>
      <c r="G33" s="4">
        <f t="shared" si="0"/>
        <v>0.74707246285725826</v>
      </c>
      <c r="H33" s="4">
        <f t="shared" si="1"/>
        <v>0</v>
      </c>
      <c r="I33" s="4">
        <f t="shared" si="2"/>
        <v>0</v>
      </c>
      <c r="J33" s="4">
        <f t="shared" si="9"/>
        <v>0</v>
      </c>
      <c r="K33" s="4">
        <f t="shared" si="10"/>
        <v>0</v>
      </c>
      <c r="L33" s="4">
        <f t="shared" si="11"/>
        <v>0</v>
      </c>
      <c r="M33" s="4">
        <f t="shared" si="3"/>
        <v>0</v>
      </c>
      <c r="N33" s="4">
        <f t="shared" si="12"/>
        <v>0</v>
      </c>
      <c r="O33" s="4">
        <f t="shared" si="4"/>
        <v>0</v>
      </c>
      <c r="P33" s="4">
        <f t="shared" si="13"/>
        <v>1161573.21</v>
      </c>
      <c r="Q33" s="4">
        <f t="shared" si="5"/>
        <v>0.74707246285725826</v>
      </c>
      <c r="R33" s="4">
        <v>29</v>
      </c>
      <c r="S33" s="4">
        <f t="shared" si="14"/>
        <v>1140188.6023997338</v>
      </c>
      <c r="T33" s="4">
        <f t="shared" si="15"/>
        <v>0.73331882999999998</v>
      </c>
      <c r="U33" s="11">
        <f t="shared" si="6"/>
        <v>393260.18000000017</v>
      </c>
      <c r="V33" s="11">
        <f t="shared" si="16"/>
        <v>0.2529275371427418</v>
      </c>
      <c r="W33" s="11">
        <f t="shared" si="17"/>
        <v>0.26668117000000002</v>
      </c>
      <c r="Y33" s="3">
        <v>41736</v>
      </c>
      <c r="Z33" s="4"/>
      <c r="AA33" s="4">
        <v>56555.33</v>
      </c>
      <c r="AB33" s="4"/>
      <c r="AC33" s="4">
        <v>56555.33</v>
      </c>
      <c r="AD33" s="4"/>
      <c r="AE33" s="4"/>
      <c r="AF33" s="4">
        <v>56555.33</v>
      </c>
      <c r="AG33" s="4"/>
      <c r="AH33" s="4">
        <v>456909.91</v>
      </c>
      <c r="AI33" s="4"/>
      <c r="AJ33" s="4">
        <v>456909.91</v>
      </c>
      <c r="AK33" s="4"/>
      <c r="AL33" s="4">
        <v>419391.28</v>
      </c>
      <c r="AM33" s="4"/>
      <c r="AN33" s="4">
        <v>419391.28</v>
      </c>
      <c r="AO33" s="4"/>
      <c r="AP33" s="4">
        <v>183537.12</v>
      </c>
      <c r="AQ33" s="4"/>
      <c r="AR33" s="4">
        <v>183537.12</v>
      </c>
      <c r="AS33" s="4"/>
      <c r="AT33" s="4">
        <v>263.89999999999998</v>
      </c>
      <c r="AU33" s="4">
        <v>263.89999999999998</v>
      </c>
      <c r="AV33" s="4"/>
      <c r="AW33" s="4">
        <v>101471</v>
      </c>
      <c r="AX33" s="4"/>
      <c r="AY33" s="4">
        <v>101471</v>
      </c>
      <c r="AZ33" s="4"/>
      <c r="BA33" s="4"/>
      <c r="BB33" s="4"/>
      <c r="BC33" s="4">
        <v>1161573.21</v>
      </c>
      <c r="BD33" s="4"/>
      <c r="BE33" s="4">
        <v>43604.88</v>
      </c>
      <c r="BF33" s="4"/>
      <c r="BG33" s="4">
        <v>43604.88</v>
      </c>
      <c r="BH33" s="4"/>
      <c r="BI33" s="4"/>
      <c r="BJ33" s="4"/>
      <c r="BK33" s="4">
        <v>43604.88</v>
      </c>
      <c r="BL33" s="4"/>
      <c r="BM33" s="4"/>
      <c r="BN33" s="4"/>
      <c r="BO33" s="4"/>
      <c r="BP33" s="4"/>
      <c r="BQ33" s="4"/>
      <c r="BR33" s="4"/>
      <c r="BS33" s="4"/>
      <c r="BT33" s="4"/>
      <c r="BU33" s="4"/>
      <c r="BV33" s="4"/>
      <c r="BW33" s="4"/>
      <c r="BX33" s="4"/>
      <c r="BY33" s="4"/>
      <c r="BZ33" s="4"/>
      <c r="CA33" s="4"/>
      <c r="CB33" s="4"/>
      <c r="CC33" s="4">
        <v>1554833.3900000001</v>
      </c>
      <c r="CD33" s="1"/>
      <c r="CE33" s="1"/>
    </row>
    <row r="34" spans="4:83">
      <c r="D34" s="2">
        <v>41743</v>
      </c>
      <c r="E34" s="11">
        <f t="shared" si="7"/>
        <v>1522758.9500000002</v>
      </c>
      <c r="F34" s="4">
        <f t="shared" si="8"/>
        <v>1117241.05</v>
      </c>
      <c r="G34" s="4">
        <f t="shared" si="0"/>
        <v>0.73369527724660555</v>
      </c>
      <c r="H34" s="4">
        <f t="shared" si="1"/>
        <v>0</v>
      </c>
      <c r="I34" s="4">
        <f t="shared" si="2"/>
        <v>0</v>
      </c>
      <c r="J34" s="4">
        <f t="shared" si="9"/>
        <v>0</v>
      </c>
      <c r="K34" s="4">
        <f t="shared" si="10"/>
        <v>0</v>
      </c>
      <c r="L34" s="4">
        <f t="shared" si="11"/>
        <v>0</v>
      </c>
      <c r="M34" s="4">
        <f t="shared" si="3"/>
        <v>0</v>
      </c>
      <c r="N34" s="4">
        <f t="shared" si="12"/>
        <v>0</v>
      </c>
      <c r="O34" s="4">
        <f t="shared" si="4"/>
        <v>0</v>
      </c>
      <c r="P34" s="4">
        <f t="shared" si="13"/>
        <v>1117241.05</v>
      </c>
      <c r="Q34" s="4">
        <f t="shared" si="5"/>
        <v>0.73369527724660555</v>
      </c>
      <c r="R34" s="4">
        <v>30</v>
      </c>
      <c r="S34" s="4">
        <f t="shared" si="14"/>
        <v>1117184.4380149951</v>
      </c>
      <c r="T34" s="4">
        <f t="shared" si="15"/>
        <v>0.73365809999999998</v>
      </c>
      <c r="U34" s="11">
        <f t="shared" si="6"/>
        <v>405517.90000000014</v>
      </c>
      <c r="V34" s="11">
        <f t="shared" si="16"/>
        <v>0.26630472275339451</v>
      </c>
      <c r="W34" s="11">
        <f t="shared" si="17"/>
        <v>0.26634190000000002</v>
      </c>
      <c r="Y34" s="3">
        <v>41743</v>
      </c>
      <c r="Z34" s="4"/>
      <c r="AA34" s="4">
        <v>58130.42</v>
      </c>
      <c r="AB34" s="4"/>
      <c r="AC34" s="4">
        <v>58130.42</v>
      </c>
      <c r="AD34" s="4"/>
      <c r="AE34" s="4"/>
      <c r="AF34" s="4">
        <v>58130.42</v>
      </c>
      <c r="AG34" s="4"/>
      <c r="AH34" s="4">
        <v>469242.73</v>
      </c>
      <c r="AI34" s="4"/>
      <c r="AJ34" s="4">
        <v>469242.73</v>
      </c>
      <c r="AK34" s="4"/>
      <c r="AL34" s="4">
        <v>360404.86</v>
      </c>
      <c r="AM34" s="4"/>
      <c r="AN34" s="4">
        <v>360404.86</v>
      </c>
      <c r="AO34" s="4"/>
      <c r="AP34" s="4">
        <v>186061.61</v>
      </c>
      <c r="AQ34" s="4"/>
      <c r="AR34" s="4">
        <v>186061.61</v>
      </c>
      <c r="AS34" s="4"/>
      <c r="AT34" s="4"/>
      <c r="AU34" s="4"/>
      <c r="AV34" s="4"/>
      <c r="AW34" s="4">
        <v>101531.85</v>
      </c>
      <c r="AX34" s="4"/>
      <c r="AY34" s="4">
        <v>101531.85</v>
      </c>
      <c r="AZ34" s="4"/>
      <c r="BA34" s="4"/>
      <c r="BB34" s="4"/>
      <c r="BC34" s="4">
        <v>1117241.05</v>
      </c>
      <c r="BD34" s="4"/>
      <c r="BE34" s="4">
        <v>44171.21</v>
      </c>
      <c r="BF34" s="4"/>
      <c r="BG34" s="4">
        <v>44171.21</v>
      </c>
      <c r="BH34" s="4"/>
      <c r="BI34" s="4"/>
      <c r="BJ34" s="4"/>
      <c r="BK34" s="4">
        <v>44171.21</v>
      </c>
      <c r="BL34" s="4"/>
      <c r="BM34" s="4"/>
      <c r="BN34" s="4"/>
      <c r="BO34" s="4"/>
      <c r="BP34" s="4"/>
      <c r="BQ34" s="4"/>
      <c r="BR34" s="4"/>
      <c r="BS34" s="4"/>
      <c r="BT34" s="4"/>
      <c r="BU34" s="4"/>
      <c r="BV34" s="4"/>
      <c r="BW34" s="4"/>
      <c r="BX34" s="4"/>
      <c r="BY34" s="4"/>
      <c r="BZ34" s="4"/>
      <c r="CA34" s="4"/>
      <c r="CB34" s="4"/>
      <c r="CC34" s="4">
        <v>1522758.9500000002</v>
      </c>
      <c r="CD34" s="1"/>
      <c r="CE34" s="1"/>
    </row>
    <row r="35" spans="4:83">
      <c r="D35" s="2">
        <v>41750</v>
      </c>
      <c r="E35" s="11">
        <f t="shared" si="7"/>
        <v>1561903.6099999999</v>
      </c>
      <c r="F35" s="4">
        <f t="shared" si="8"/>
        <v>1147687.31</v>
      </c>
      <c r="G35" s="4">
        <f t="shared" si="0"/>
        <v>0.7348003440494002</v>
      </c>
      <c r="H35" s="4">
        <f t="shared" si="1"/>
        <v>0</v>
      </c>
      <c r="I35" s="4">
        <f t="shared" si="2"/>
        <v>0</v>
      </c>
      <c r="J35" s="4">
        <f t="shared" si="9"/>
        <v>0</v>
      </c>
      <c r="K35" s="4">
        <f t="shared" si="10"/>
        <v>0</v>
      </c>
      <c r="L35" s="4">
        <f t="shared" si="11"/>
        <v>0</v>
      </c>
      <c r="M35" s="4">
        <f t="shared" si="3"/>
        <v>0</v>
      </c>
      <c r="N35" s="4">
        <f t="shared" si="12"/>
        <v>0</v>
      </c>
      <c r="O35" s="4">
        <f t="shared" si="4"/>
        <v>0</v>
      </c>
      <c r="P35" s="4">
        <f t="shared" si="13"/>
        <v>1147687.31</v>
      </c>
      <c r="Q35" s="4">
        <f t="shared" si="5"/>
        <v>0.7348003440494002</v>
      </c>
      <c r="R35" s="4">
        <v>31</v>
      </c>
      <c r="S35" s="4">
        <f t="shared" si="14"/>
        <v>1146433.1419335057</v>
      </c>
      <c r="T35" s="4">
        <f t="shared" si="15"/>
        <v>0.73399736999999998</v>
      </c>
      <c r="U35" s="11">
        <f t="shared" si="6"/>
        <v>414216.29999999981</v>
      </c>
      <c r="V35" s="11">
        <f t="shared" si="16"/>
        <v>0.2651996559505998</v>
      </c>
      <c r="W35" s="11">
        <f t="shared" si="17"/>
        <v>0.26600263000000002</v>
      </c>
      <c r="Y35" s="3">
        <v>41750</v>
      </c>
      <c r="Z35" s="4"/>
      <c r="AA35" s="4">
        <v>59553.79</v>
      </c>
      <c r="AB35" s="4"/>
      <c r="AC35" s="4">
        <v>59553.79</v>
      </c>
      <c r="AD35" s="4"/>
      <c r="AE35" s="4"/>
      <c r="AF35" s="4">
        <v>59553.79</v>
      </c>
      <c r="AG35" s="4"/>
      <c r="AH35" s="4">
        <v>501143.94</v>
      </c>
      <c r="AI35" s="4"/>
      <c r="AJ35" s="4">
        <v>501143.94</v>
      </c>
      <c r="AK35" s="4"/>
      <c r="AL35" s="4">
        <v>358910.93</v>
      </c>
      <c r="AM35" s="4"/>
      <c r="AN35" s="4">
        <v>358910.93</v>
      </c>
      <c r="AO35" s="4"/>
      <c r="AP35" s="4">
        <v>188053.76000000001</v>
      </c>
      <c r="AQ35" s="4"/>
      <c r="AR35" s="4">
        <v>188053.76000000001</v>
      </c>
      <c r="AS35" s="4"/>
      <c r="AT35" s="4"/>
      <c r="AU35" s="4"/>
      <c r="AV35" s="4"/>
      <c r="AW35" s="4">
        <v>99578.68</v>
      </c>
      <c r="AX35" s="4"/>
      <c r="AY35" s="4">
        <v>99578.68</v>
      </c>
      <c r="AZ35" s="4"/>
      <c r="BA35" s="4"/>
      <c r="BB35" s="4"/>
      <c r="BC35" s="4">
        <v>1147687.31</v>
      </c>
      <c r="BD35" s="4"/>
      <c r="BE35" s="4">
        <v>45463.72</v>
      </c>
      <c r="BF35" s="4"/>
      <c r="BG35" s="4">
        <v>45463.72</v>
      </c>
      <c r="BH35" s="4"/>
      <c r="BI35" s="4"/>
      <c r="BJ35" s="4"/>
      <c r="BK35" s="4">
        <v>45463.72</v>
      </c>
      <c r="BL35" s="4"/>
      <c r="BM35" s="4"/>
      <c r="BN35" s="4"/>
      <c r="BO35" s="4"/>
      <c r="BP35" s="4"/>
      <c r="BQ35" s="4"/>
      <c r="BR35" s="4"/>
      <c r="BS35" s="4"/>
      <c r="BT35" s="4"/>
      <c r="BU35" s="4"/>
      <c r="BV35" s="4"/>
      <c r="BW35" s="4"/>
      <c r="BX35" s="4"/>
      <c r="BY35" s="4"/>
      <c r="BZ35" s="4"/>
      <c r="CA35" s="4"/>
      <c r="CB35" s="4"/>
      <c r="CC35" s="4">
        <v>1561903.6099999999</v>
      </c>
      <c r="CD35" s="1"/>
      <c r="CE35" s="1"/>
    </row>
    <row r="36" spans="4:83">
      <c r="D36" s="2">
        <v>41757</v>
      </c>
      <c r="E36" s="11">
        <f t="shared" si="7"/>
        <v>1571568.2699999998</v>
      </c>
      <c r="F36" s="4">
        <f t="shared" si="8"/>
        <v>1157858.3799999999</v>
      </c>
      <c r="G36" s="4">
        <f t="shared" ref="G36:G67" si="18">F36/E36</f>
        <v>0.73675347237699074</v>
      </c>
      <c r="H36" s="4">
        <f t="shared" si="1"/>
        <v>0</v>
      </c>
      <c r="I36" s="4">
        <f t="shared" si="2"/>
        <v>0</v>
      </c>
      <c r="J36" s="4">
        <f t="shared" si="9"/>
        <v>0</v>
      </c>
      <c r="K36" s="4">
        <f t="shared" si="10"/>
        <v>0</v>
      </c>
      <c r="L36" s="4">
        <f t="shared" si="11"/>
        <v>0</v>
      </c>
      <c r="M36" s="4">
        <f t="shared" ref="M36:M67" si="19">L36/E36</f>
        <v>0</v>
      </c>
      <c r="N36" s="4">
        <f t="shared" si="12"/>
        <v>0</v>
      </c>
      <c r="O36" s="4">
        <f t="shared" ref="O36:O67" si="20">N36/E36</f>
        <v>0</v>
      </c>
      <c r="P36" s="4">
        <f t="shared" si="13"/>
        <v>1157858.3799999999</v>
      </c>
      <c r="Q36" s="4">
        <f t="shared" ref="Q36:Q67" si="21">P36/E36</f>
        <v>0.73675347237699074</v>
      </c>
      <c r="R36" s="4">
        <v>32</v>
      </c>
      <c r="S36" s="4">
        <f t="shared" si="14"/>
        <v>1154060.1629224126</v>
      </c>
      <c r="T36" s="4">
        <f t="shared" si="15"/>
        <v>0.73433663999999998</v>
      </c>
      <c r="U36" s="11">
        <f t="shared" si="6"/>
        <v>413709.8899999999</v>
      </c>
      <c r="V36" s="11">
        <f t="shared" si="16"/>
        <v>0.26324652762300932</v>
      </c>
      <c r="W36" s="11">
        <f t="shared" si="17"/>
        <v>0.26566336000000002</v>
      </c>
      <c r="Y36" s="3">
        <v>41757</v>
      </c>
      <c r="Z36" s="4"/>
      <c r="AA36" s="4">
        <v>58776.72</v>
      </c>
      <c r="AB36" s="4"/>
      <c r="AC36" s="4">
        <v>58776.72</v>
      </c>
      <c r="AD36" s="4"/>
      <c r="AE36" s="4"/>
      <c r="AF36" s="4">
        <v>58776.72</v>
      </c>
      <c r="AG36" s="4"/>
      <c r="AH36" s="4">
        <v>503221.02</v>
      </c>
      <c r="AI36" s="4"/>
      <c r="AJ36" s="4">
        <v>503221.02</v>
      </c>
      <c r="AK36" s="4"/>
      <c r="AL36" s="4">
        <v>374392.84</v>
      </c>
      <c r="AM36" s="4"/>
      <c r="AN36" s="4">
        <v>374392.84</v>
      </c>
      <c r="AO36" s="4"/>
      <c r="AP36" s="4">
        <v>184374.43</v>
      </c>
      <c r="AQ36" s="4"/>
      <c r="AR36" s="4">
        <v>184374.43</v>
      </c>
      <c r="AS36" s="4"/>
      <c r="AT36" s="4"/>
      <c r="AU36" s="4"/>
      <c r="AV36" s="4"/>
      <c r="AW36" s="4">
        <v>95870.17</v>
      </c>
      <c r="AX36" s="4"/>
      <c r="AY36" s="4">
        <v>95870.17</v>
      </c>
      <c r="AZ36" s="4"/>
      <c r="BA36" s="4">
        <v>-0.08</v>
      </c>
      <c r="BB36" s="4">
        <v>-0.08</v>
      </c>
      <c r="BC36" s="4">
        <v>1157858.3799999999</v>
      </c>
      <c r="BD36" s="4"/>
      <c r="BE36" s="4">
        <v>45249.98</v>
      </c>
      <c r="BF36" s="4"/>
      <c r="BG36" s="4">
        <v>45249.98</v>
      </c>
      <c r="BH36" s="4"/>
      <c r="BI36" s="4"/>
      <c r="BJ36" s="4"/>
      <c r="BK36" s="4">
        <v>45249.98</v>
      </c>
      <c r="BL36" s="4"/>
      <c r="BM36" s="4"/>
      <c r="BN36" s="4"/>
      <c r="BO36" s="4"/>
      <c r="BP36" s="4"/>
      <c r="BQ36" s="4"/>
      <c r="BR36" s="4"/>
      <c r="BS36" s="4"/>
      <c r="BT36" s="4"/>
      <c r="BU36" s="4"/>
      <c r="BV36" s="4"/>
      <c r="BW36" s="4"/>
      <c r="BX36" s="4"/>
      <c r="BY36" s="4"/>
      <c r="BZ36" s="4"/>
      <c r="CA36" s="4"/>
      <c r="CB36" s="4"/>
      <c r="CC36" s="4">
        <v>1571568.2699999998</v>
      </c>
      <c r="CD36" s="1"/>
      <c r="CE36" s="1"/>
    </row>
    <row r="37" spans="4:83">
      <c r="D37" s="2">
        <v>41764</v>
      </c>
      <c r="E37" s="11">
        <f t="shared" si="7"/>
        <v>1655943.07</v>
      </c>
      <c r="F37" s="4">
        <f t="shared" si="8"/>
        <v>1226369.1500000001</v>
      </c>
      <c r="G37" s="4">
        <f t="shared" si="18"/>
        <v>0.7405865408162855</v>
      </c>
      <c r="H37" s="4">
        <f t="shared" si="1"/>
        <v>0</v>
      </c>
      <c r="I37" s="4">
        <f t="shared" si="2"/>
        <v>0</v>
      </c>
      <c r="J37" s="4">
        <f t="shared" si="9"/>
        <v>0</v>
      </c>
      <c r="K37" s="4">
        <f t="shared" si="10"/>
        <v>0</v>
      </c>
      <c r="L37" s="4">
        <f t="shared" si="11"/>
        <v>0</v>
      </c>
      <c r="M37" s="4">
        <f t="shared" si="19"/>
        <v>0</v>
      </c>
      <c r="N37" s="4">
        <f t="shared" si="12"/>
        <v>0</v>
      </c>
      <c r="O37" s="4">
        <f t="shared" si="20"/>
        <v>0</v>
      </c>
      <c r="P37" s="4">
        <f t="shared" si="13"/>
        <v>1226369.1500000001</v>
      </c>
      <c r="Q37" s="4">
        <f t="shared" si="21"/>
        <v>0.7405865408162855</v>
      </c>
      <c r="R37" s="4">
        <v>33</v>
      </c>
      <c r="S37" s="4">
        <f t="shared" ref="S37:S68" si="22">E37*T37</f>
        <v>1216581.4818604437</v>
      </c>
      <c r="T37" s="4">
        <f t="shared" ref="T37:T68" si="23">$B$9+$B$10*R37</f>
        <v>0.73467590999999999</v>
      </c>
      <c r="U37" s="11">
        <f t="shared" si="6"/>
        <v>429573.91999999993</v>
      </c>
      <c r="V37" s="11">
        <f t="shared" si="16"/>
        <v>0.2594134591837145</v>
      </c>
      <c r="W37" s="11">
        <f t="shared" si="17"/>
        <v>0.26532409000000001</v>
      </c>
      <c r="Y37" s="3">
        <v>41764</v>
      </c>
      <c r="Z37" s="4"/>
      <c r="AA37" s="4">
        <v>58497.31</v>
      </c>
      <c r="AB37" s="4"/>
      <c r="AC37" s="4">
        <v>58497.31</v>
      </c>
      <c r="AD37" s="4"/>
      <c r="AE37" s="4"/>
      <c r="AF37" s="4">
        <v>58497.31</v>
      </c>
      <c r="AG37" s="4"/>
      <c r="AH37" s="4">
        <v>500814.09</v>
      </c>
      <c r="AI37" s="4"/>
      <c r="AJ37" s="4">
        <v>500814.09</v>
      </c>
      <c r="AK37" s="4"/>
      <c r="AL37" s="4">
        <v>434517.03</v>
      </c>
      <c r="AM37" s="4"/>
      <c r="AN37" s="4">
        <v>434517.03</v>
      </c>
      <c r="AO37" s="4"/>
      <c r="AP37" s="4">
        <v>192086.29</v>
      </c>
      <c r="AQ37" s="4"/>
      <c r="AR37" s="4">
        <v>192086.29</v>
      </c>
      <c r="AS37" s="4"/>
      <c r="AT37" s="4"/>
      <c r="AU37" s="4"/>
      <c r="AV37" s="4"/>
      <c r="AW37" s="4">
        <v>98951.74</v>
      </c>
      <c r="AX37" s="4"/>
      <c r="AY37" s="4">
        <v>98951.74</v>
      </c>
      <c r="AZ37" s="4"/>
      <c r="BA37" s="4"/>
      <c r="BB37" s="4"/>
      <c r="BC37" s="4">
        <v>1226369.1500000001</v>
      </c>
      <c r="BD37" s="4"/>
      <c r="BE37" s="4">
        <v>44674.43</v>
      </c>
      <c r="BF37" s="4"/>
      <c r="BG37" s="4">
        <v>44674.43</v>
      </c>
      <c r="BH37" s="4"/>
      <c r="BI37" s="4"/>
      <c r="BJ37" s="4"/>
      <c r="BK37" s="4">
        <v>44674.43</v>
      </c>
      <c r="BL37" s="4"/>
      <c r="BM37" s="4"/>
      <c r="BN37" s="4"/>
      <c r="BO37" s="4"/>
      <c r="BP37" s="4"/>
      <c r="BQ37" s="4"/>
      <c r="BR37" s="4"/>
      <c r="BS37" s="4"/>
      <c r="BT37" s="4"/>
      <c r="BU37" s="4"/>
      <c r="BV37" s="4"/>
      <c r="BW37" s="4"/>
      <c r="BX37" s="4"/>
      <c r="BY37" s="4"/>
      <c r="BZ37" s="4"/>
      <c r="CA37" s="4"/>
      <c r="CB37" s="4"/>
      <c r="CC37" s="4">
        <v>1655943.07</v>
      </c>
      <c r="CD37" s="1"/>
      <c r="CE37" s="1"/>
    </row>
    <row r="38" spans="4:83">
      <c r="D38" s="2">
        <v>41771</v>
      </c>
      <c r="E38" s="11">
        <f t="shared" si="7"/>
        <v>1622030.59</v>
      </c>
      <c r="F38" s="4">
        <f t="shared" si="8"/>
        <v>1193895.55</v>
      </c>
      <c r="G38" s="4">
        <f t="shared" si="18"/>
        <v>0.73604995945236762</v>
      </c>
      <c r="H38" s="4">
        <f t="shared" si="1"/>
        <v>0</v>
      </c>
      <c r="I38" s="4">
        <f t="shared" si="2"/>
        <v>0</v>
      </c>
      <c r="J38" s="4">
        <f t="shared" si="9"/>
        <v>0</v>
      </c>
      <c r="K38" s="4">
        <f t="shared" si="10"/>
        <v>0</v>
      </c>
      <c r="L38" s="4">
        <f t="shared" si="11"/>
        <v>0</v>
      </c>
      <c r="M38" s="4">
        <f t="shared" si="19"/>
        <v>0</v>
      </c>
      <c r="N38" s="4">
        <f t="shared" si="12"/>
        <v>0</v>
      </c>
      <c r="O38" s="4">
        <f t="shared" si="20"/>
        <v>0</v>
      </c>
      <c r="P38" s="4">
        <f t="shared" si="13"/>
        <v>1193895.55</v>
      </c>
      <c r="Q38" s="4">
        <f t="shared" si="21"/>
        <v>0.73604995945236762</v>
      </c>
      <c r="R38" s="4">
        <v>34</v>
      </c>
      <c r="S38" s="4">
        <f t="shared" si="22"/>
        <v>1192217.1060743562</v>
      </c>
      <c r="T38" s="4">
        <f t="shared" si="23"/>
        <v>0.73501517999999999</v>
      </c>
      <c r="U38" s="11">
        <f t="shared" si="6"/>
        <v>428135.04000000004</v>
      </c>
      <c r="V38" s="11">
        <f t="shared" si="16"/>
        <v>0.26395004054763233</v>
      </c>
      <c r="W38" s="11">
        <f t="shared" si="17"/>
        <v>0.26498482000000001</v>
      </c>
      <c r="Y38" s="3">
        <v>41771</v>
      </c>
      <c r="Z38" s="4"/>
      <c r="AA38" s="4">
        <v>60714.46</v>
      </c>
      <c r="AB38" s="4"/>
      <c r="AC38" s="4">
        <v>60714.46</v>
      </c>
      <c r="AD38" s="4"/>
      <c r="AE38" s="4"/>
      <c r="AF38" s="4">
        <v>60714.46</v>
      </c>
      <c r="AG38" s="4"/>
      <c r="AH38" s="4">
        <v>499290.32</v>
      </c>
      <c r="AI38" s="4"/>
      <c r="AJ38" s="4">
        <v>499290.32</v>
      </c>
      <c r="AK38" s="4"/>
      <c r="AL38" s="4">
        <v>398108.24</v>
      </c>
      <c r="AM38" s="4"/>
      <c r="AN38" s="4">
        <v>398108.24</v>
      </c>
      <c r="AO38" s="4"/>
      <c r="AP38" s="4">
        <v>195029.52</v>
      </c>
      <c r="AQ38" s="4"/>
      <c r="AR38" s="4">
        <v>195029.52</v>
      </c>
      <c r="AS38" s="4"/>
      <c r="AT38" s="4"/>
      <c r="AU38" s="4"/>
      <c r="AV38" s="4"/>
      <c r="AW38" s="4">
        <v>101467.47</v>
      </c>
      <c r="AX38" s="4"/>
      <c r="AY38" s="4">
        <v>101467.47</v>
      </c>
      <c r="AZ38" s="4"/>
      <c r="BA38" s="4"/>
      <c r="BB38" s="4"/>
      <c r="BC38" s="4">
        <v>1193895.55</v>
      </c>
      <c r="BD38" s="4"/>
      <c r="BE38" s="4">
        <v>46218.52</v>
      </c>
      <c r="BF38" s="4"/>
      <c r="BG38" s="4">
        <v>46218.52</v>
      </c>
      <c r="BH38" s="4"/>
      <c r="BI38" s="4"/>
      <c r="BJ38" s="4"/>
      <c r="BK38" s="4">
        <v>46218.52</v>
      </c>
      <c r="BL38" s="4"/>
      <c r="BM38" s="4"/>
      <c r="BN38" s="4"/>
      <c r="BO38" s="4"/>
      <c r="BP38" s="4"/>
      <c r="BQ38" s="4"/>
      <c r="BR38" s="4"/>
      <c r="BS38" s="4"/>
      <c r="BT38" s="4"/>
      <c r="BU38" s="4"/>
      <c r="BV38" s="4"/>
      <c r="BW38" s="4"/>
      <c r="BX38" s="4"/>
      <c r="BY38" s="4"/>
      <c r="BZ38" s="4"/>
      <c r="CA38" s="4"/>
      <c r="CB38" s="4"/>
      <c r="CC38" s="4">
        <v>1622030.59</v>
      </c>
      <c r="CD38" s="1"/>
      <c r="CE38" s="1"/>
    </row>
    <row r="39" spans="4:83">
      <c r="D39" s="2">
        <v>41778</v>
      </c>
      <c r="E39" s="11">
        <f t="shared" si="7"/>
        <v>1825052.3</v>
      </c>
      <c r="F39" s="4">
        <f t="shared" si="8"/>
        <v>1335067.08</v>
      </c>
      <c r="G39" s="4">
        <f t="shared" si="18"/>
        <v>0.73152264184429128</v>
      </c>
      <c r="H39" s="4">
        <f t="shared" si="1"/>
        <v>0</v>
      </c>
      <c r="I39" s="4">
        <f t="shared" si="2"/>
        <v>0</v>
      </c>
      <c r="J39" s="4">
        <f t="shared" si="9"/>
        <v>0</v>
      </c>
      <c r="K39" s="4">
        <f t="shared" si="10"/>
        <v>0</v>
      </c>
      <c r="L39" s="4">
        <f t="shared" si="11"/>
        <v>0</v>
      </c>
      <c r="M39" s="4">
        <f t="shared" si="19"/>
        <v>0</v>
      </c>
      <c r="N39" s="4">
        <f t="shared" si="12"/>
        <v>0</v>
      </c>
      <c r="O39" s="4">
        <f t="shared" si="20"/>
        <v>0</v>
      </c>
      <c r="P39" s="4">
        <f t="shared" si="13"/>
        <v>1335067.08</v>
      </c>
      <c r="Q39" s="4">
        <f t="shared" si="21"/>
        <v>0.73152264184429128</v>
      </c>
      <c r="R39" s="4">
        <v>35</v>
      </c>
      <c r="S39" s="4">
        <f t="shared" si="22"/>
        <v>1342060.330287735</v>
      </c>
      <c r="T39" s="4">
        <f t="shared" si="23"/>
        <v>0.73535444999999999</v>
      </c>
      <c r="U39" s="11">
        <f t="shared" si="6"/>
        <v>489985.22</v>
      </c>
      <c r="V39" s="11">
        <f t="shared" si="16"/>
        <v>0.26847735815570872</v>
      </c>
      <c r="W39" s="11">
        <f t="shared" si="17"/>
        <v>0.26464555000000001</v>
      </c>
      <c r="Y39" s="3">
        <v>41778</v>
      </c>
      <c r="Z39" s="4"/>
      <c r="AA39" s="4">
        <v>69502.710000000006</v>
      </c>
      <c r="AB39" s="4"/>
      <c r="AC39" s="4">
        <v>69502.710000000006</v>
      </c>
      <c r="AD39" s="4"/>
      <c r="AE39" s="4"/>
      <c r="AF39" s="4">
        <v>69502.710000000006</v>
      </c>
      <c r="AG39" s="4"/>
      <c r="AH39" s="4">
        <v>586176.46</v>
      </c>
      <c r="AI39" s="4"/>
      <c r="AJ39" s="4">
        <v>586176.46</v>
      </c>
      <c r="AK39" s="4"/>
      <c r="AL39" s="4">
        <v>428135.59</v>
      </c>
      <c r="AM39" s="4"/>
      <c r="AN39" s="4">
        <v>428135.59</v>
      </c>
      <c r="AO39" s="4"/>
      <c r="AP39" s="4">
        <v>207015.09</v>
      </c>
      <c r="AQ39" s="4"/>
      <c r="AR39" s="4">
        <v>207015.09</v>
      </c>
      <c r="AS39" s="4"/>
      <c r="AT39" s="4"/>
      <c r="AU39" s="4"/>
      <c r="AV39" s="4"/>
      <c r="AW39" s="4">
        <v>113739.94</v>
      </c>
      <c r="AX39" s="4"/>
      <c r="AY39" s="4">
        <v>113739.94</v>
      </c>
      <c r="AZ39" s="4"/>
      <c r="BA39" s="4"/>
      <c r="BB39" s="4"/>
      <c r="BC39" s="4">
        <v>1335067.08</v>
      </c>
      <c r="BD39" s="4"/>
      <c r="BE39" s="4">
        <v>53198.15</v>
      </c>
      <c r="BF39" s="4"/>
      <c r="BG39" s="4">
        <v>53198.15</v>
      </c>
      <c r="BH39" s="4"/>
      <c r="BI39" s="4"/>
      <c r="BJ39" s="4"/>
      <c r="BK39" s="4">
        <v>53198.15</v>
      </c>
      <c r="BL39" s="4"/>
      <c r="BM39" s="4"/>
      <c r="BN39" s="4"/>
      <c r="BO39" s="4"/>
      <c r="BP39" s="4"/>
      <c r="BQ39" s="4"/>
      <c r="BR39" s="4"/>
      <c r="BS39" s="4"/>
      <c r="BT39" s="4"/>
      <c r="BU39" s="4"/>
      <c r="BV39" s="4"/>
      <c r="BW39" s="4"/>
      <c r="BX39" s="4"/>
      <c r="BY39" s="4"/>
      <c r="BZ39" s="4"/>
      <c r="CA39" s="4"/>
      <c r="CB39" s="4"/>
      <c r="CC39" s="4">
        <v>1825052.3</v>
      </c>
      <c r="CD39" s="1"/>
      <c r="CE39" s="1"/>
    </row>
    <row r="40" spans="4:83">
      <c r="D40" s="2">
        <v>41785</v>
      </c>
      <c r="E40" s="11">
        <f t="shared" si="7"/>
        <v>1416302.59</v>
      </c>
      <c r="F40" s="4">
        <f t="shared" si="8"/>
        <v>1039382.21</v>
      </c>
      <c r="G40" s="4">
        <f t="shared" si="18"/>
        <v>0.73387016117791604</v>
      </c>
      <c r="H40" s="4">
        <f t="shared" si="1"/>
        <v>0</v>
      </c>
      <c r="I40" s="4">
        <f t="shared" si="2"/>
        <v>0</v>
      </c>
      <c r="J40" s="4">
        <f t="shared" si="9"/>
        <v>0</v>
      </c>
      <c r="K40" s="4">
        <f t="shared" si="10"/>
        <v>0</v>
      </c>
      <c r="L40" s="4">
        <f t="shared" si="11"/>
        <v>0</v>
      </c>
      <c r="M40" s="4">
        <f t="shared" si="19"/>
        <v>0</v>
      </c>
      <c r="N40" s="4">
        <f t="shared" si="12"/>
        <v>0</v>
      </c>
      <c r="O40" s="4">
        <f t="shared" si="20"/>
        <v>0</v>
      </c>
      <c r="P40" s="4">
        <f t="shared" si="13"/>
        <v>1039382.21</v>
      </c>
      <c r="Q40" s="4">
        <f t="shared" si="21"/>
        <v>0.73387016117791604</v>
      </c>
      <c r="R40" s="4">
        <v>36</v>
      </c>
      <c r="S40" s="4">
        <f t="shared" si="22"/>
        <v>1041964.9210827348</v>
      </c>
      <c r="T40" s="4">
        <f t="shared" si="23"/>
        <v>0.73569372</v>
      </c>
      <c r="U40" s="11">
        <f t="shared" si="6"/>
        <v>376920.38000000012</v>
      </c>
      <c r="V40" s="11">
        <f t="shared" si="16"/>
        <v>0.26612983882208396</v>
      </c>
      <c r="W40" s="11">
        <f t="shared" si="17"/>
        <v>0.26430628</v>
      </c>
      <c r="Y40" s="3">
        <v>41785</v>
      </c>
      <c r="Z40" s="4"/>
      <c r="AA40" s="4">
        <v>53135.46</v>
      </c>
      <c r="AB40" s="4"/>
      <c r="AC40" s="4">
        <v>53135.46</v>
      </c>
      <c r="AD40" s="4"/>
      <c r="AE40" s="4"/>
      <c r="AF40" s="4">
        <v>53135.46</v>
      </c>
      <c r="AG40" s="4"/>
      <c r="AH40" s="4">
        <v>454727.07</v>
      </c>
      <c r="AI40" s="4"/>
      <c r="AJ40" s="4">
        <v>454727.07</v>
      </c>
      <c r="AK40" s="4"/>
      <c r="AL40" s="4">
        <v>335440.40000000002</v>
      </c>
      <c r="AM40" s="4"/>
      <c r="AN40" s="4">
        <v>335440.40000000002</v>
      </c>
      <c r="AO40" s="4"/>
      <c r="AP40" s="4">
        <v>162718.79</v>
      </c>
      <c r="AQ40" s="4"/>
      <c r="AR40" s="4">
        <v>162718.79</v>
      </c>
      <c r="AS40" s="4"/>
      <c r="AT40" s="4"/>
      <c r="AU40" s="4"/>
      <c r="AV40" s="4"/>
      <c r="AW40" s="4">
        <v>86495.95</v>
      </c>
      <c r="AX40" s="4"/>
      <c r="AY40" s="4">
        <v>86495.95</v>
      </c>
      <c r="AZ40" s="4"/>
      <c r="BA40" s="4"/>
      <c r="BB40" s="4"/>
      <c r="BC40" s="4">
        <v>1039382.21</v>
      </c>
      <c r="BD40" s="4"/>
      <c r="BE40" s="4">
        <v>40341.9</v>
      </c>
      <c r="BF40" s="4"/>
      <c r="BG40" s="4">
        <v>40341.9</v>
      </c>
      <c r="BH40" s="4"/>
      <c r="BI40" s="4"/>
      <c r="BJ40" s="4"/>
      <c r="BK40" s="4">
        <v>40341.9</v>
      </c>
      <c r="BL40" s="4"/>
      <c r="BM40" s="4"/>
      <c r="BN40" s="4"/>
      <c r="BO40" s="4"/>
      <c r="BP40" s="4"/>
      <c r="BQ40" s="4"/>
      <c r="BR40" s="4"/>
      <c r="BS40" s="4"/>
      <c r="BT40" s="4"/>
      <c r="BU40" s="4"/>
      <c r="BV40" s="4"/>
      <c r="BW40" s="4"/>
      <c r="BX40" s="4"/>
      <c r="BY40" s="4"/>
      <c r="BZ40" s="4"/>
      <c r="CA40" s="4"/>
      <c r="CB40" s="4"/>
      <c r="CC40" s="4">
        <v>1416302.59</v>
      </c>
      <c r="CD40" s="1"/>
      <c r="CE40" s="1"/>
    </row>
    <row r="41" spans="4:83">
      <c r="D41" s="2">
        <v>41792</v>
      </c>
      <c r="E41" s="11">
        <f t="shared" si="7"/>
        <v>1602098.5600000003</v>
      </c>
      <c r="F41" s="4">
        <f t="shared" si="8"/>
        <v>1157873.4300000002</v>
      </c>
      <c r="G41" s="4">
        <f t="shared" si="18"/>
        <v>0.72272297030215171</v>
      </c>
      <c r="H41" s="4">
        <f t="shared" si="1"/>
        <v>0</v>
      </c>
      <c r="I41" s="4">
        <f t="shared" si="2"/>
        <v>0</v>
      </c>
      <c r="J41" s="4">
        <f t="shared" si="9"/>
        <v>0</v>
      </c>
      <c r="K41" s="4">
        <f t="shared" si="10"/>
        <v>0</v>
      </c>
      <c r="L41" s="4">
        <f t="shared" si="11"/>
        <v>0</v>
      </c>
      <c r="M41" s="4">
        <f t="shared" si="19"/>
        <v>0</v>
      </c>
      <c r="N41" s="4">
        <f t="shared" si="12"/>
        <v>0</v>
      </c>
      <c r="O41" s="4">
        <f t="shared" si="20"/>
        <v>0</v>
      </c>
      <c r="P41" s="4">
        <f t="shared" si="13"/>
        <v>1157873.4300000002</v>
      </c>
      <c r="Q41" s="4">
        <f t="shared" si="21"/>
        <v>0.72272297030215171</v>
      </c>
      <c r="R41" s="4">
        <v>37</v>
      </c>
      <c r="S41" s="4">
        <f t="shared" si="22"/>
        <v>1179197.3933914946</v>
      </c>
      <c r="T41" s="4">
        <f t="shared" si="23"/>
        <v>0.73603299</v>
      </c>
      <c r="U41" s="11">
        <f t="shared" si="6"/>
        <v>444225.13000000012</v>
      </c>
      <c r="V41" s="11">
        <f t="shared" si="16"/>
        <v>0.27727702969784834</v>
      </c>
      <c r="W41" s="11">
        <f t="shared" si="17"/>
        <v>0.26396701</v>
      </c>
      <c r="Y41" s="3">
        <v>41792</v>
      </c>
      <c r="Z41" s="4"/>
      <c r="AA41" s="4">
        <v>60768.35</v>
      </c>
      <c r="AB41" s="4"/>
      <c r="AC41" s="4">
        <v>60768.35</v>
      </c>
      <c r="AD41" s="4"/>
      <c r="AE41" s="4"/>
      <c r="AF41" s="4">
        <v>60768.35</v>
      </c>
      <c r="AG41" s="4"/>
      <c r="AH41" s="4">
        <v>516525.08</v>
      </c>
      <c r="AI41" s="4"/>
      <c r="AJ41" s="4">
        <v>516525.08</v>
      </c>
      <c r="AK41" s="4"/>
      <c r="AL41" s="4">
        <v>364612.67</v>
      </c>
      <c r="AM41" s="4"/>
      <c r="AN41" s="4">
        <v>364612.67</v>
      </c>
      <c r="AO41" s="4"/>
      <c r="AP41" s="4">
        <v>178574.14</v>
      </c>
      <c r="AQ41" s="4"/>
      <c r="AR41" s="4">
        <v>178574.14</v>
      </c>
      <c r="AS41" s="4"/>
      <c r="AT41" s="4"/>
      <c r="AU41" s="4"/>
      <c r="AV41" s="4"/>
      <c r="AW41" s="4">
        <v>98161.54</v>
      </c>
      <c r="AX41" s="4"/>
      <c r="AY41" s="4">
        <v>98161.54</v>
      </c>
      <c r="AZ41" s="4"/>
      <c r="BA41" s="4"/>
      <c r="BB41" s="4"/>
      <c r="BC41" s="4">
        <v>1157873.4300000002</v>
      </c>
      <c r="BD41" s="4"/>
      <c r="BE41" s="4">
        <v>46060.86</v>
      </c>
      <c r="BF41" s="4"/>
      <c r="BG41" s="4">
        <v>46060.86</v>
      </c>
      <c r="BH41" s="4"/>
      <c r="BI41" s="4"/>
      <c r="BJ41" s="4"/>
      <c r="BK41" s="4">
        <v>46060.86</v>
      </c>
      <c r="BL41" s="4"/>
      <c r="BM41" s="4"/>
      <c r="BN41" s="4">
        <v>0</v>
      </c>
      <c r="BO41" s="4"/>
      <c r="BP41" s="4">
        <v>0</v>
      </c>
      <c r="BQ41" s="4">
        <v>0</v>
      </c>
      <c r="BR41" s="4"/>
      <c r="BS41" s="4"/>
      <c r="BT41" s="4"/>
      <c r="BU41" s="4"/>
      <c r="BV41" s="4"/>
      <c r="BW41" s="4"/>
      <c r="BX41" s="4"/>
      <c r="BY41" s="4"/>
      <c r="BZ41" s="4"/>
      <c r="CA41" s="4"/>
      <c r="CB41" s="4"/>
      <c r="CC41" s="4">
        <v>1602098.5600000003</v>
      </c>
      <c r="CD41" s="1"/>
      <c r="CE41" s="1"/>
    </row>
    <row r="42" spans="4:83">
      <c r="D42" s="2">
        <v>41799</v>
      </c>
      <c r="E42" s="11">
        <f t="shared" si="7"/>
        <v>1697946.4500000002</v>
      </c>
      <c r="F42" s="4">
        <f t="shared" si="8"/>
        <v>1241059.06</v>
      </c>
      <c r="G42" s="4">
        <f t="shared" si="18"/>
        <v>0.73091766822210436</v>
      </c>
      <c r="H42" s="4">
        <f t="shared" si="1"/>
        <v>0</v>
      </c>
      <c r="I42" s="4">
        <f t="shared" si="2"/>
        <v>0</v>
      </c>
      <c r="J42" s="4">
        <f t="shared" si="9"/>
        <v>0</v>
      </c>
      <c r="K42" s="4">
        <f t="shared" si="10"/>
        <v>0</v>
      </c>
      <c r="L42" s="4">
        <f t="shared" si="11"/>
        <v>0</v>
      </c>
      <c r="M42" s="4">
        <f t="shared" si="19"/>
        <v>0</v>
      </c>
      <c r="N42" s="4">
        <f t="shared" si="12"/>
        <v>2.84</v>
      </c>
      <c r="O42" s="4">
        <f t="shared" si="20"/>
        <v>1.6726086974062107E-6</v>
      </c>
      <c r="P42" s="4">
        <f t="shared" si="13"/>
        <v>1241061.9000000001</v>
      </c>
      <c r="Q42" s="4">
        <f t="shared" si="21"/>
        <v>0.73091934083080179</v>
      </c>
      <c r="R42" s="4">
        <v>38</v>
      </c>
      <c r="S42" s="4">
        <f t="shared" si="22"/>
        <v>1250320.664745477</v>
      </c>
      <c r="T42" s="4">
        <f t="shared" si="23"/>
        <v>0.73637226</v>
      </c>
      <c r="U42" s="11">
        <f t="shared" si="6"/>
        <v>456884.55000000005</v>
      </c>
      <c r="V42" s="11">
        <f t="shared" si="16"/>
        <v>0.26908065916919816</v>
      </c>
      <c r="W42" s="11">
        <f t="shared" si="17"/>
        <v>0.26362774</v>
      </c>
      <c r="Y42" s="3">
        <v>41799</v>
      </c>
      <c r="Z42" s="4"/>
      <c r="AA42" s="4">
        <v>60714.69</v>
      </c>
      <c r="AB42" s="4"/>
      <c r="AC42" s="4">
        <v>60714.69</v>
      </c>
      <c r="AD42" s="4"/>
      <c r="AE42" s="4"/>
      <c r="AF42" s="4">
        <v>60714.69</v>
      </c>
      <c r="AG42" s="4"/>
      <c r="AH42" s="4">
        <v>556269.1</v>
      </c>
      <c r="AI42" s="4"/>
      <c r="AJ42" s="4">
        <v>556269.1</v>
      </c>
      <c r="AK42" s="4"/>
      <c r="AL42" s="4">
        <v>403925.73</v>
      </c>
      <c r="AM42" s="4"/>
      <c r="AN42" s="4">
        <v>403925.73</v>
      </c>
      <c r="AO42" s="4"/>
      <c r="AP42" s="4">
        <v>180420.61</v>
      </c>
      <c r="AQ42" s="4"/>
      <c r="AR42" s="4">
        <v>180420.61</v>
      </c>
      <c r="AS42" s="4"/>
      <c r="AT42" s="4"/>
      <c r="AU42" s="4"/>
      <c r="AV42" s="4"/>
      <c r="AW42" s="4">
        <v>100443.62</v>
      </c>
      <c r="AX42" s="4"/>
      <c r="AY42" s="4">
        <v>100443.62</v>
      </c>
      <c r="AZ42" s="4"/>
      <c r="BA42" s="4"/>
      <c r="BB42" s="4"/>
      <c r="BC42" s="4">
        <v>1241059.06</v>
      </c>
      <c r="BD42" s="4"/>
      <c r="BE42" s="4">
        <v>45881.26</v>
      </c>
      <c r="BF42" s="4"/>
      <c r="BG42" s="4">
        <v>45881.26</v>
      </c>
      <c r="BH42" s="4"/>
      <c r="BI42" s="4"/>
      <c r="BJ42" s="4"/>
      <c r="BK42" s="4">
        <v>45881.26</v>
      </c>
      <c r="BL42" s="4"/>
      <c r="BM42" s="4"/>
      <c r="BN42" s="4">
        <v>2.84</v>
      </c>
      <c r="BO42" s="4"/>
      <c r="BP42" s="4">
        <v>2.84</v>
      </c>
      <c r="BQ42" s="4">
        <v>2.84</v>
      </c>
      <c r="BR42" s="4"/>
      <c r="BS42" s="4"/>
      <c r="BT42" s="4"/>
      <c r="BU42" s="4"/>
      <c r="BV42" s="4"/>
      <c r="BW42" s="4"/>
      <c r="BX42" s="4"/>
      <c r="BY42" s="4"/>
      <c r="BZ42" s="4"/>
      <c r="CA42" s="4"/>
      <c r="CB42" s="4"/>
      <c r="CC42" s="4">
        <v>1697946.4500000002</v>
      </c>
      <c r="CD42" s="1"/>
      <c r="CE42" s="1"/>
    </row>
    <row r="43" spans="4:83">
      <c r="D43" s="2">
        <v>41806</v>
      </c>
      <c r="E43" s="11">
        <f t="shared" si="7"/>
        <v>1669041.88</v>
      </c>
      <c r="F43" s="4">
        <f t="shared" si="8"/>
        <v>1230624.6400000001</v>
      </c>
      <c r="G43" s="4">
        <f t="shared" si="18"/>
        <v>0.73732400291836908</v>
      </c>
      <c r="H43" s="4">
        <f t="shared" si="1"/>
        <v>0</v>
      </c>
      <c r="I43" s="4">
        <f t="shared" si="2"/>
        <v>0</v>
      </c>
      <c r="J43" s="4">
        <f t="shared" si="9"/>
        <v>0</v>
      </c>
      <c r="K43" s="4">
        <f t="shared" si="10"/>
        <v>0</v>
      </c>
      <c r="L43" s="4">
        <f t="shared" si="11"/>
        <v>0</v>
      </c>
      <c r="M43" s="4">
        <f t="shared" si="19"/>
        <v>0</v>
      </c>
      <c r="N43" s="4">
        <f t="shared" si="12"/>
        <v>116.44</v>
      </c>
      <c r="O43" s="4">
        <f t="shared" si="20"/>
        <v>6.9764576548552517E-5</v>
      </c>
      <c r="P43" s="4">
        <f t="shared" si="13"/>
        <v>1230741.08</v>
      </c>
      <c r="Q43" s="4">
        <f t="shared" si="21"/>
        <v>0.73739376749491758</v>
      </c>
      <c r="R43" s="4">
        <v>39</v>
      </c>
      <c r="S43" s="4">
        <f t="shared" si="22"/>
        <v>1229602.3970488764</v>
      </c>
      <c r="T43" s="4">
        <f t="shared" si="23"/>
        <v>0.73671153</v>
      </c>
      <c r="U43" s="11">
        <f t="shared" si="6"/>
        <v>438300.79999999981</v>
      </c>
      <c r="V43" s="11">
        <f t="shared" si="16"/>
        <v>0.26260623250508242</v>
      </c>
      <c r="W43" s="11">
        <f t="shared" si="17"/>
        <v>0.26328847</v>
      </c>
      <c r="Y43" s="3">
        <v>41806</v>
      </c>
      <c r="Z43" s="4"/>
      <c r="AA43" s="4">
        <v>62421</v>
      </c>
      <c r="AB43" s="4"/>
      <c r="AC43" s="4">
        <v>62421</v>
      </c>
      <c r="AD43" s="4"/>
      <c r="AE43" s="4"/>
      <c r="AF43" s="4">
        <v>62421</v>
      </c>
      <c r="AG43" s="4"/>
      <c r="AH43" s="4">
        <v>523936.09</v>
      </c>
      <c r="AI43" s="4"/>
      <c r="AJ43" s="4">
        <v>523936.09</v>
      </c>
      <c r="AK43" s="4"/>
      <c r="AL43" s="4">
        <v>418482.22</v>
      </c>
      <c r="AM43" s="4"/>
      <c r="AN43" s="4">
        <v>418482.22</v>
      </c>
      <c r="AO43" s="4"/>
      <c r="AP43" s="4">
        <v>185631.01</v>
      </c>
      <c r="AQ43" s="4"/>
      <c r="AR43" s="4">
        <v>185631.01</v>
      </c>
      <c r="AS43" s="4"/>
      <c r="AT43" s="4"/>
      <c r="AU43" s="4"/>
      <c r="AV43" s="4"/>
      <c r="AW43" s="4">
        <v>102575.32</v>
      </c>
      <c r="AX43" s="4"/>
      <c r="AY43" s="4">
        <v>102575.32</v>
      </c>
      <c r="AZ43" s="4"/>
      <c r="BA43" s="4"/>
      <c r="BB43" s="4"/>
      <c r="BC43" s="4">
        <v>1230624.6400000001</v>
      </c>
      <c r="BD43" s="4"/>
      <c r="BE43" s="4">
        <v>46794.17</v>
      </c>
      <c r="BF43" s="4"/>
      <c r="BG43" s="4">
        <v>46794.17</v>
      </c>
      <c r="BH43" s="4"/>
      <c r="BI43" s="4"/>
      <c r="BJ43" s="4"/>
      <c r="BK43" s="4">
        <v>46794.17</v>
      </c>
      <c r="BL43" s="4"/>
      <c r="BM43" s="4"/>
      <c r="BN43" s="4">
        <v>116.44</v>
      </c>
      <c r="BO43" s="4"/>
      <c r="BP43" s="4">
        <v>116.44</v>
      </c>
      <c r="BQ43" s="4">
        <v>116.44</v>
      </c>
      <c r="BR43" s="4"/>
      <c r="BS43" s="4"/>
      <c r="BT43" s="4"/>
      <c r="BU43" s="4"/>
      <c r="BV43" s="4"/>
      <c r="BW43" s="4"/>
      <c r="BX43" s="4"/>
      <c r="BY43" s="4"/>
      <c r="BZ43" s="4"/>
      <c r="CA43" s="4"/>
      <c r="CB43" s="4"/>
      <c r="CC43" s="4">
        <v>1669041.88</v>
      </c>
      <c r="CD43" s="1"/>
      <c r="CE43" s="1"/>
    </row>
    <row r="44" spans="4:83">
      <c r="D44" s="2">
        <v>41813</v>
      </c>
      <c r="E44" s="11">
        <f t="shared" si="7"/>
        <v>1843640.7300000002</v>
      </c>
      <c r="F44" s="4">
        <f t="shared" si="8"/>
        <v>1323125.2000000002</v>
      </c>
      <c r="G44" s="4">
        <f t="shared" si="18"/>
        <v>0.7176697598777827</v>
      </c>
      <c r="H44" s="4">
        <f t="shared" si="1"/>
        <v>0</v>
      </c>
      <c r="I44" s="4">
        <f t="shared" si="2"/>
        <v>0</v>
      </c>
      <c r="J44" s="4">
        <f t="shared" si="9"/>
        <v>0</v>
      </c>
      <c r="K44" s="4">
        <f t="shared" si="10"/>
        <v>0</v>
      </c>
      <c r="L44" s="4">
        <f t="shared" si="11"/>
        <v>0</v>
      </c>
      <c r="M44" s="4">
        <f t="shared" si="19"/>
        <v>0</v>
      </c>
      <c r="N44" s="4">
        <f t="shared" si="12"/>
        <v>55065.7</v>
      </c>
      <c r="O44" s="4">
        <f t="shared" si="20"/>
        <v>2.9867912497246678E-2</v>
      </c>
      <c r="P44" s="4">
        <f t="shared" si="13"/>
        <v>1378190.9000000001</v>
      </c>
      <c r="Q44" s="4">
        <f t="shared" si="21"/>
        <v>0.74753767237502933</v>
      </c>
      <c r="R44" s="4">
        <v>40</v>
      </c>
      <c r="S44" s="4">
        <f t="shared" si="22"/>
        <v>1358856.8749590842</v>
      </c>
      <c r="T44" s="4">
        <f t="shared" si="23"/>
        <v>0.73705080000000001</v>
      </c>
      <c r="U44" s="11">
        <f t="shared" si="6"/>
        <v>465449.83000000007</v>
      </c>
      <c r="V44" s="11">
        <f t="shared" si="16"/>
        <v>0.25246232762497062</v>
      </c>
      <c r="W44" s="11">
        <f t="shared" si="17"/>
        <v>0.26294919999999999</v>
      </c>
      <c r="Y44" s="3">
        <v>41813</v>
      </c>
      <c r="Z44" s="4"/>
      <c r="AA44" s="4">
        <v>64115.28</v>
      </c>
      <c r="AB44" s="4"/>
      <c r="AC44" s="4">
        <v>64115.28</v>
      </c>
      <c r="AD44" s="4"/>
      <c r="AE44" s="4"/>
      <c r="AF44" s="4">
        <v>64115.28</v>
      </c>
      <c r="AG44" s="4"/>
      <c r="AH44" s="4">
        <v>551702.51</v>
      </c>
      <c r="AI44" s="4"/>
      <c r="AJ44" s="4">
        <v>551702.51</v>
      </c>
      <c r="AK44" s="4"/>
      <c r="AL44" s="4">
        <v>471330.37</v>
      </c>
      <c r="AM44" s="4"/>
      <c r="AN44" s="4">
        <v>471330.37</v>
      </c>
      <c r="AO44" s="4"/>
      <c r="AP44" s="4">
        <v>195513.96</v>
      </c>
      <c r="AQ44" s="4"/>
      <c r="AR44" s="4">
        <v>195513.96</v>
      </c>
      <c r="AS44" s="4"/>
      <c r="AT44" s="4"/>
      <c r="AU44" s="4"/>
      <c r="AV44" s="4"/>
      <c r="AW44" s="4">
        <v>104578.36</v>
      </c>
      <c r="AX44" s="4"/>
      <c r="AY44" s="4">
        <v>104578.36</v>
      </c>
      <c r="AZ44" s="4"/>
      <c r="BA44" s="4"/>
      <c r="BB44" s="4"/>
      <c r="BC44" s="4">
        <v>1323125.2000000002</v>
      </c>
      <c r="BD44" s="4"/>
      <c r="BE44" s="4">
        <v>49134.59</v>
      </c>
      <c r="BF44" s="4"/>
      <c r="BG44" s="4">
        <v>49134.59</v>
      </c>
      <c r="BH44" s="4"/>
      <c r="BI44" s="4"/>
      <c r="BJ44" s="4"/>
      <c r="BK44" s="4">
        <v>49134.59</v>
      </c>
      <c r="BL44" s="4"/>
      <c r="BM44" s="4"/>
      <c r="BN44" s="4">
        <v>55065.7</v>
      </c>
      <c r="BO44" s="4"/>
      <c r="BP44" s="4">
        <v>55065.7</v>
      </c>
      <c r="BQ44" s="4">
        <v>55065.7</v>
      </c>
      <c r="BR44" s="4"/>
      <c r="BS44" s="4"/>
      <c r="BT44" s="4"/>
      <c r="BU44" s="4"/>
      <c r="BV44" s="4"/>
      <c r="BW44" s="4"/>
      <c r="BX44" s="4"/>
      <c r="BY44" s="4"/>
      <c r="BZ44" s="4"/>
      <c r="CA44" s="4"/>
      <c r="CB44" s="4"/>
      <c r="CC44" s="4">
        <v>1843640.7300000002</v>
      </c>
      <c r="CD44" s="1"/>
      <c r="CE44" s="1"/>
    </row>
    <row r="45" spans="4:83">
      <c r="D45" s="2">
        <v>41820</v>
      </c>
      <c r="E45" s="11">
        <f t="shared" si="7"/>
        <v>1584661.9800000002</v>
      </c>
      <c r="F45" s="4">
        <f t="shared" si="8"/>
        <v>1154986.57</v>
      </c>
      <c r="G45" s="4">
        <f t="shared" si="18"/>
        <v>0.72885358806929912</v>
      </c>
      <c r="H45" s="4">
        <f t="shared" si="1"/>
        <v>0</v>
      </c>
      <c r="I45" s="4">
        <f t="shared" si="2"/>
        <v>0</v>
      </c>
      <c r="J45" s="4">
        <f t="shared" si="9"/>
        <v>0</v>
      </c>
      <c r="K45" s="4">
        <f t="shared" si="10"/>
        <v>0</v>
      </c>
      <c r="L45" s="4">
        <f t="shared" si="11"/>
        <v>0</v>
      </c>
      <c r="M45" s="4">
        <f t="shared" si="19"/>
        <v>0</v>
      </c>
      <c r="N45" s="4">
        <f t="shared" si="12"/>
        <v>20959.28</v>
      </c>
      <c r="O45" s="4">
        <f t="shared" si="20"/>
        <v>1.322634117845119E-2</v>
      </c>
      <c r="P45" s="4">
        <f t="shared" si="13"/>
        <v>1175945.8500000001</v>
      </c>
      <c r="Q45" s="4">
        <f t="shared" si="21"/>
        <v>0.74207992924775035</v>
      </c>
      <c r="R45" s="4">
        <v>41</v>
      </c>
      <c r="S45" s="4">
        <f t="shared" si="22"/>
        <v>1168514.0083585388</v>
      </c>
      <c r="T45" s="4">
        <f t="shared" si="23"/>
        <v>0.73739007000000001</v>
      </c>
      <c r="U45" s="11">
        <f t="shared" si="6"/>
        <v>408716.13000000012</v>
      </c>
      <c r="V45" s="11">
        <f t="shared" si="16"/>
        <v>0.25792007075224965</v>
      </c>
      <c r="W45" s="11">
        <f t="shared" si="17"/>
        <v>0.26260992999999999</v>
      </c>
      <c r="Y45" s="3">
        <v>41820</v>
      </c>
      <c r="Z45" s="4"/>
      <c r="AA45" s="4">
        <v>57572.72</v>
      </c>
      <c r="AB45" s="4"/>
      <c r="AC45" s="4">
        <v>57572.72</v>
      </c>
      <c r="AD45" s="4"/>
      <c r="AE45" s="4"/>
      <c r="AF45" s="4">
        <v>57572.72</v>
      </c>
      <c r="AG45" s="4"/>
      <c r="AH45" s="4">
        <v>493515.83</v>
      </c>
      <c r="AI45" s="4"/>
      <c r="AJ45" s="4">
        <v>493515.83</v>
      </c>
      <c r="AK45" s="4"/>
      <c r="AL45" s="4">
        <v>396068.09</v>
      </c>
      <c r="AM45" s="4"/>
      <c r="AN45" s="4">
        <v>396068.09</v>
      </c>
      <c r="AO45" s="4"/>
      <c r="AP45" s="4">
        <v>172786.56</v>
      </c>
      <c r="AQ45" s="4"/>
      <c r="AR45" s="4">
        <v>172786.56</v>
      </c>
      <c r="AS45" s="4"/>
      <c r="AT45" s="4"/>
      <c r="AU45" s="4"/>
      <c r="AV45" s="4"/>
      <c r="AW45" s="4">
        <v>92616.09</v>
      </c>
      <c r="AX45" s="4"/>
      <c r="AY45" s="4">
        <v>92616.09</v>
      </c>
      <c r="AZ45" s="4"/>
      <c r="BA45" s="4"/>
      <c r="BB45" s="4"/>
      <c r="BC45" s="4">
        <v>1154986.57</v>
      </c>
      <c r="BD45" s="4"/>
      <c r="BE45" s="4">
        <v>44237.73</v>
      </c>
      <c r="BF45" s="4"/>
      <c r="BG45" s="4">
        <v>44237.73</v>
      </c>
      <c r="BH45" s="4"/>
      <c r="BI45" s="4"/>
      <c r="BJ45" s="4"/>
      <c r="BK45" s="4">
        <v>44237.73</v>
      </c>
      <c r="BL45" s="4"/>
      <c r="BM45" s="4"/>
      <c r="BN45" s="4">
        <v>20959.28</v>
      </c>
      <c r="BO45" s="4"/>
      <c r="BP45" s="4">
        <v>20959.28</v>
      </c>
      <c r="BQ45" s="4">
        <v>20959.28</v>
      </c>
      <c r="BR45" s="4"/>
      <c r="BS45" s="4"/>
      <c r="BT45" s="4"/>
      <c r="BU45" s="4"/>
      <c r="BV45" s="4"/>
      <c r="BW45" s="4"/>
      <c r="BX45" s="4"/>
      <c r="BY45" s="4"/>
      <c r="BZ45" s="4"/>
      <c r="CA45" s="4"/>
      <c r="CB45" s="4"/>
      <c r="CC45" s="4">
        <v>1584661.9800000002</v>
      </c>
      <c r="CD45" s="1"/>
      <c r="CE45" s="1"/>
    </row>
    <row r="46" spans="4:83">
      <c r="D46" s="2">
        <v>41827</v>
      </c>
      <c r="E46" s="11">
        <f t="shared" si="7"/>
        <v>1584216.2000000002</v>
      </c>
      <c r="F46" s="4">
        <f t="shared" si="8"/>
        <v>1145722.5900000001</v>
      </c>
      <c r="G46" s="4">
        <f t="shared" si="18"/>
        <v>0.72321100491208201</v>
      </c>
      <c r="H46" s="4">
        <f t="shared" si="1"/>
        <v>0</v>
      </c>
      <c r="I46" s="4">
        <f t="shared" si="2"/>
        <v>0</v>
      </c>
      <c r="J46" s="4">
        <f t="shared" si="9"/>
        <v>0</v>
      </c>
      <c r="K46" s="4">
        <f t="shared" si="10"/>
        <v>0</v>
      </c>
      <c r="L46" s="4">
        <f t="shared" si="11"/>
        <v>0</v>
      </c>
      <c r="M46" s="4">
        <f t="shared" si="19"/>
        <v>0</v>
      </c>
      <c r="N46" s="4">
        <f t="shared" si="12"/>
        <v>21249.48</v>
      </c>
      <c r="O46" s="4">
        <f t="shared" si="20"/>
        <v>1.341324498512261E-2</v>
      </c>
      <c r="P46" s="4">
        <f t="shared" si="13"/>
        <v>1166972.07</v>
      </c>
      <c r="Q46" s="4">
        <f t="shared" si="21"/>
        <v>0.73662424989720465</v>
      </c>
      <c r="R46" s="4">
        <v>42</v>
      </c>
      <c r="S46" s="4">
        <f t="shared" si="22"/>
        <v>1168722.7716433082</v>
      </c>
      <c r="T46" s="4">
        <f t="shared" si="23"/>
        <v>0.73772934000000001</v>
      </c>
      <c r="U46" s="11">
        <f t="shared" si="6"/>
        <v>417244.13000000012</v>
      </c>
      <c r="V46" s="11">
        <f t="shared" si="16"/>
        <v>0.26337575010279535</v>
      </c>
      <c r="W46" s="11">
        <f t="shared" si="17"/>
        <v>0.26227065999999999</v>
      </c>
      <c r="Y46" s="3">
        <v>41827</v>
      </c>
      <c r="Z46" s="4"/>
      <c r="AA46" s="4">
        <v>60524.41</v>
      </c>
      <c r="AB46" s="4"/>
      <c r="AC46" s="4">
        <v>60524.41</v>
      </c>
      <c r="AD46" s="4"/>
      <c r="AE46" s="4"/>
      <c r="AF46" s="4">
        <v>60524.41</v>
      </c>
      <c r="AG46" s="4"/>
      <c r="AH46" s="4">
        <v>494795.26</v>
      </c>
      <c r="AI46" s="4"/>
      <c r="AJ46" s="4">
        <v>494795.26</v>
      </c>
      <c r="AK46" s="4"/>
      <c r="AL46" s="4">
        <v>381124.71</v>
      </c>
      <c r="AM46" s="4"/>
      <c r="AN46" s="4">
        <v>381124.71</v>
      </c>
      <c r="AO46" s="4"/>
      <c r="AP46" s="4">
        <v>175161.11</v>
      </c>
      <c r="AQ46" s="4"/>
      <c r="AR46" s="4">
        <v>175161.11</v>
      </c>
      <c r="AS46" s="4"/>
      <c r="AT46" s="4"/>
      <c r="AU46" s="4"/>
      <c r="AV46" s="4"/>
      <c r="AW46" s="4">
        <v>94641.51</v>
      </c>
      <c r="AX46" s="4"/>
      <c r="AY46" s="4">
        <v>94641.51</v>
      </c>
      <c r="AZ46" s="4"/>
      <c r="BA46" s="4"/>
      <c r="BB46" s="4"/>
      <c r="BC46" s="4">
        <v>1145722.5900000001</v>
      </c>
      <c r="BD46" s="4"/>
      <c r="BE46" s="4">
        <v>45852.04</v>
      </c>
      <c r="BF46" s="4"/>
      <c r="BG46" s="4">
        <v>45852.04</v>
      </c>
      <c r="BH46" s="4"/>
      <c r="BI46" s="4"/>
      <c r="BJ46" s="4"/>
      <c r="BK46" s="4">
        <v>45852.04</v>
      </c>
      <c r="BL46" s="4"/>
      <c r="BM46" s="4"/>
      <c r="BN46" s="4">
        <v>21249.48</v>
      </c>
      <c r="BO46" s="4"/>
      <c r="BP46" s="4">
        <v>21249.48</v>
      </c>
      <c r="BQ46" s="4">
        <v>21249.48</v>
      </c>
      <c r="BR46" s="4"/>
      <c r="BS46" s="4"/>
      <c r="BT46" s="4"/>
      <c r="BU46" s="4"/>
      <c r="BV46" s="4"/>
      <c r="BW46" s="4"/>
      <c r="BX46" s="4"/>
      <c r="BY46" s="4"/>
      <c r="BZ46" s="4"/>
      <c r="CA46" s="4"/>
      <c r="CB46" s="4"/>
      <c r="CC46" s="4">
        <v>1584216.2000000002</v>
      </c>
      <c r="CD46" s="1"/>
      <c r="CE46" s="1"/>
    </row>
    <row r="47" spans="4:83">
      <c r="D47" s="2">
        <v>41834</v>
      </c>
      <c r="E47" s="11">
        <f t="shared" si="7"/>
        <v>1555564.33</v>
      </c>
      <c r="F47" s="4">
        <f t="shared" si="8"/>
        <v>1129052.47</v>
      </c>
      <c r="G47" s="4">
        <f t="shared" si="18"/>
        <v>0.72581535088298144</v>
      </c>
      <c r="H47" s="4">
        <f t="shared" si="1"/>
        <v>0</v>
      </c>
      <c r="I47" s="4">
        <f t="shared" si="2"/>
        <v>0</v>
      </c>
      <c r="J47" s="4">
        <f t="shared" si="9"/>
        <v>0</v>
      </c>
      <c r="K47" s="4">
        <f t="shared" si="10"/>
        <v>0</v>
      </c>
      <c r="L47" s="4">
        <f t="shared" si="11"/>
        <v>0</v>
      </c>
      <c r="M47" s="4">
        <f t="shared" si="19"/>
        <v>0</v>
      </c>
      <c r="N47" s="4">
        <f t="shared" si="12"/>
        <v>20897.66</v>
      </c>
      <c r="O47" s="4">
        <f t="shared" si="20"/>
        <v>1.3434134221887177E-2</v>
      </c>
      <c r="P47" s="4">
        <f t="shared" si="13"/>
        <v>1149950.1299999999</v>
      </c>
      <c r="Q47" s="4">
        <f t="shared" si="21"/>
        <v>0.73924948510486854</v>
      </c>
      <c r="R47" s="4">
        <v>43</v>
      </c>
      <c r="S47" s="4">
        <f t="shared" si="22"/>
        <v>1148113.2028086814</v>
      </c>
      <c r="T47" s="4">
        <f t="shared" si="23"/>
        <v>0.73806861000000001</v>
      </c>
      <c r="U47" s="11">
        <f t="shared" si="6"/>
        <v>405614.20000000019</v>
      </c>
      <c r="V47" s="11">
        <f t="shared" si="16"/>
        <v>0.26075051489513146</v>
      </c>
      <c r="W47" s="11">
        <f t="shared" si="17"/>
        <v>0.26193138999999999</v>
      </c>
      <c r="Y47" s="3">
        <v>41834</v>
      </c>
      <c r="Z47" s="4"/>
      <c r="AA47" s="4">
        <v>59311.78</v>
      </c>
      <c r="AB47" s="4"/>
      <c r="AC47" s="4">
        <v>59311.78</v>
      </c>
      <c r="AD47" s="4"/>
      <c r="AE47" s="4"/>
      <c r="AF47" s="4">
        <v>59311.78</v>
      </c>
      <c r="AG47" s="4"/>
      <c r="AH47" s="4">
        <v>492567.12</v>
      </c>
      <c r="AI47" s="4"/>
      <c r="AJ47" s="4">
        <v>492567.12</v>
      </c>
      <c r="AK47" s="4"/>
      <c r="AL47" s="4">
        <v>360622.19</v>
      </c>
      <c r="AM47" s="4"/>
      <c r="AN47" s="4">
        <v>360622.19</v>
      </c>
      <c r="AO47" s="4"/>
      <c r="AP47" s="4">
        <v>180404.62</v>
      </c>
      <c r="AQ47" s="4"/>
      <c r="AR47" s="4">
        <v>180404.62</v>
      </c>
      <c r="AS47" s="4"/>
      <c r="AT47" s="4"/>
      <c r="AU47" s="4"/>
      <c r="AV47" s="4"/>
      <c r="AW47" s="4">
        <v>95458.54</v>
      </c>
      <c r="AX47" s="4"/>
      <c r="AY47" s="4">
        <v>95458.54</v>
      </c>
      <c r="AZ47" s="4"/>
      <c r="BA47" s="4"/>
      <c r="BB47" s="4"/>
      <c r="BC47" s="4">
        <v>1129052.47</v>
      </c>
      <c r="BD47" s="4"/>
      <c r="BE47" s="4">
        <v>43945.760000000002</v>
      </c>
      <c r="BF47" s="4"/>
      <c r="BG47" s="4">
        <v>43945.760000000002</v>
      </c>
      <c r="BH47" s="4"/>
      <c r="BI47" s="4"/>
      <c r="BJ47" s="4"/>
      <c r="BK47" s="4">
        <v>43945.760000000002</v>
      </c>
      <c r="BL47" s="4"/>
      <c r="BM47" s="4"/>
      <c r="BN47" s="4">
        <v>20897.66</v>
      </c>
      <c r="BO47" s="4"/>
      <c r="BP47" s="4">
        <v>20897.66</v>
      </c>
      <c r="BQ47" s="4">
        <v>20897.66</v>
      </c>
      <c r="BR47" s="4"/>
      <c r="BS47" s="4"/>
      <c r="BT47" s="4"/>
      <c r="BU47" s="4"/>
      <c r="BV47" s="4"/>
      <c r="BW47" s="4"/>
      <c r="BX47" s="4"/>
      <c r="BY47" s="4"/>
      <c r="BZ47" s="4"/>
      <c r="CA47" s="4"/>
      <c r="CB47" s="4"/>
      <c r="CC47" s="4">
        <v>1555564.33</v>
      </c>
      <c r="CD47" s="1"/>
      <c r="CE47" s="1"/>
    </row>
    <row r="48" spans="4:83">
      <c r="D48" s="2">
        <v>41841</v>
      </c>
      <c r="E48" s="11">
        <f t="shared" si="7"/>
        <v>1544618.3100000003</v>
      </c>
      <c r="F48" s="4">
        <f t="shared" si="8"/>
        <v>1114285.77</v>
      </c>
      <c r="G48" s="4">
        <f t="shared" si="18"/>
        <v>0.72139878362570997</v>
      </c>
      <c r="H48" s="4">
        <f t="shared" si="1"/>
        <v>0</v>
      </c>
      <c r="I48" s="4">
        <f t="shared" si="2"/>
        <v>0</v>
      </c>
      <c r="J48" s="4">
        <f t="shared" si="9"/>
        <v>0</v>
      </c>
      <c r="K48" s="4">
        <f t="shared" si="10"/>
        <v>0</v>
      </c>
      <c r="L48" s="4">
        <f t="shared" si="11"/>
        <v>0</v>
      </c>
      <c r="M48" s="4">
        <f t="shared" si="19"/>
        <v>0</v>
      </c>
      <c r="N48" s="4">
        <f t="shared" si="12"/>
        <v>19088.29</v>
      </c>
      <c r="O48" s="4">
        <f t="shared" si="20"/>
        <v>1.2357933268316622E-2</v>
      </c>
      <c r="P48" s="4">
        <f t="shared" si="13"/>
        <v>1133374.06</v>
      </c>
      <c r="Q48" s="4">
        <f t="shared" si="21"/>
        <v>0.73375671689402666</v>
      </c>
      <c r="R48" s="4">
        <v>44</v>
      </c>
      <c r="S48" s="4">
        <f t="shared" si="22"/>
        <v>1140558.3316962831</v>
      </c>
      <c r="T48" s="4">
        <f t="shared" si="23"/>
        <v>0.73840788000000002</v>
      </c>
      <c r="U48" s="11">
        <f t="shared" si="6"/>
        <v>411244.25000000023</v>
      </c>
      <c r="V48" s="11">
        <f t="shared" si="16"/>
        <v>0.26624328310597339</v>
      </c>
      <c r="W48" s="11">
        <f t="shared" si="17"/>
        <v>0.26159211999999998</v>
      </c>
      <c r="Y48" s="3">
        <v>41841</v>
      </c>
      <c r="Z48" s="4"/>
      <c r="AA48" s="4">
        <v>57713.77</v>
      </c>
      <c r="AB48" s="4"/>
      <c r="AC48" s="4">
        <v>57713.77</v>
      </c>
      <c r="AD48" s="4"/>
      <c r="AE48" s="4"/>
      <c r="AF48" s="4">
        <v>57713.77</v>
      </c>
      <c r="AG48" s="4"/>
      <c r="AH48" s="4">
        <v>474991.35</v>
      </c>
      <c r="AI48" s="4"/>
      <c r="AJ48" s="4">
        <v>474991.35</v>
      </c>
      <c r="AK48" s="4"/>
      <c r="AL48" s="4">
        <v>358854.7</v>
      </c>
      <c r="AM48" s="4"/>
      <c r="AN48" s="4">
        <v>358854.7</v>
      </c>
      <c r="AO48" s="4"/>
      <c r="AP48" s="4">
        <v>186803.72</v>
      </c>
      <c r="AQ48" s="4"/>
      <c r="AR48" s="4">
        <v>186803.72</v>
      </c>
      <c r="AS48" s="4"/>
      <c r="AT48" s="4"/>
      <c r="AU48" s="4"/>
      <c r="AV48" s="4"/>
      <c r="AW48" s="4">
        <v>93636</v>
      </c>
      <c r="AX48" s="4"/>
      <c r="AY48" s="4">
        <v>93636</v>
      </c>
      <c r="AZ48" s="4"/>
      <c r="BA48" s="4"/>
      <c r="BB48" s="4"/>
      <c r="BC48" s="4">
        <v>1114285.77</v>
      </c>
      <c r="BD48" s="4"/>
      <c r="BE48" s="4">
        <v>43789.599999999999</v>
      </c>
      <c r="BF48" s="4"/>
      <c r="BG48" s="4">
        <v>43789.599999999999</v>
      </c>
      <c r="BH48" s="4"/>
      <c r="BI48" s="4"/>
      <c r="BJ48" s="4"/>
      <c r="BK48" s="4">
        <v>43789.599999999999</v>
      </c>
      <c r="BL48" s="4"/>
      <c r="BM48" s="4"/>
      <c r="BN48" s="4">
        <v>19088.29</v>
      </c>
      <c r="BO48" s="4"/>
      <c r="BP48" s="4">
        <v>19088.29</v>
      </c>
      <c r="BQ48" s="4">
        <v>19088.29</v>
      </c>
      <c r="BR48" s="4"/>
      <c r="BS48" s="4"/>
      <c r="BT48" s="4"/>
      <c r="BU48" s="4"/>
      <c r="BV48" s="4"/>
      <c r="BW48" s="4"/>
      <c r="BX48" s="4"/>
      <c r="BY48" s="4"/>
      <c r="BZ48" s="4"/>
      <c r="CA48" s="4"/>
      <c r="CB48" s="4"/>
      <c r="CC48" s="4">
        <v>1544618.3100000003</v>
      </c>
      <c r="CD48" s="1"/>
      <c r="CE48" s="1"/>
    </row>
    <row r="49" spans="4:83">
      <c r="D49" s="2">
        <v>41848</v>
      </c>
      <c r="E49" s="11">
        <f t="shared" si="7"/>
        <v>1618057.9000000004</v>
      </c>
      <c r="F49" s="4">
        <f t="shared" si="8"/>
        <v>1177394.6300000001</v>
      </c>
      <c r="G49" s="4">
        <f t="shared" si="18"/>
        <v>0.7276591461900096</v>
      </c>
      <c r="H49" s="4">
        <f t="shared" si="1"/>
        <v>0</v>
      </c>
      <c r="I49" s="4">
        <f t="shared" si="2"/>
        <v>0</v>
      </c>
      <c r="J49" s="4">
        <f t="shared" si="9"/>
        <v>0</v>
      </c>
      <c r="K49" s="4">
        <f t="shared" si="10"/>
        <v>0</v>
      </c>
      <c r="L49" s="4">
        <f t="shared" si="11"/>
        <v>0</v>
      </c>
      <c r="M49" s="4">
        <f t="shared" si="19"/>
        <v>0</v>
      </c>
      <c r="N49" s="4">
        <f t="shared" si="12"/>
        <v>8984.24</v>
      </c>
      <c r="O49" s="4">
        <f t="shared" si="20"/>
        <v>5.5524836286760804E-3</v>
      </c>
      <c r="P49" s="4">
        <f t="shared" si="13"/>
        <v>1186378.8700000001</v>
      </c>
      <c r="Q49" s="4">
        <f t="shared" si="21"/>
        <v>0.7332116298186856</v>
      </c>
      <c r="R49" s="4">
        <v>45</v>
      </c>
      <c r="S49" s="4">
        <f t="shared" si="22"/>
        <v>1195335.6621599854</v>
      </c>
      <c r="T49" s="4">
        <f t="shared" si="23"/>
        <v>0.73874715000000002</v>
      </c>
      <c r="U49" s="11">
        <f t="shared" si="6"/>
        <v>431679.03000000026</v>
      </c>
      <c r="V49" s="11">
        <f t="shared" si="16"/>
        <v>0.2667883701813144</v>
      </c>
      <c r="W49" s="11">
        <f t="shared" si="17"/>
        <v>0.26125284999999998</v>
      </c>
      <c r="Y49" s="3">
        <v>41848</v>
      </c>
      <c r="Z49" s="4"/>
      <c r="AA49" s="4">
        <v>60494.77</v>
      </c>
      <c r="AB49" s="4"/>
      <c r="AC49" s="4">
        <v>60494.77</v>
      </c>
      <c r="AD49" s="4"/>
      <c r="AE49" s="4"/>
      <c r="AF49" s="4">
        <v>60494.77</v>
      </c>
      <c r="AG49" s="4"/>
      <c r="AH49" s="4">
        <v>516748.85</v>
      </c>
      <c r="AI49" s="4"/>
      <c r="AJ49" s="4">
        <v>516748.85</v>
      </c>
      <c r="AK49" s="4"/>
      <c r="AL49" s="4">
        <v>377798.02</v>
      </c>
      <c r="AM49" s="4"/>
      <c r="AN49" s="4">
        <v>377798.02</v>
      </c>
      <c r="AO49" s="4"/>
      <c r="AP49" s="4">
        <v>188580.47</v>
      </c>
      <c r="AQ49" s="4"/>
      <c r="AR49" s="4">
        <v>188580.47</v>
      </c>
      <c r="AS49" s="4"/>
      <c r="AT49" s="4"/>
      <c r="AU49" s="4"/>
      <c r="AV49" s="4"/>
      <c r="AW49" s="4">
        <v>94267.29</v>
      </c>
      <c r="AX49" s="4"/>
      <c r="AY49" s="4">
        <v>94267.29</v>
      </c>
      <c r="AZ49" s="4"/>
      <c r="BA49" s="4"/>
      <c r="BB49" s="4"/>
      <c r="BC49" s="4">
        <v>1177394.6300000001</v>
      </c>
      <c r="BD49" s="4"/>
      <c r="BE49" s="4">
        <v>45386.49</v>
      </c>
      <c r="BF49" s="4"/>
      <c r="BG49" s="4">
        <v>45386.49</v>
      </c>
      <c r="BH49" s="4"/>
      <c r="BI49" s="4"/>
      <c r="BJ49" s="4"/>
      <c r="BK49" s="4">
        <v>45386.49</v>
      </c>
      <c r="BL49" s="4"/>
      <c r="BM49" s="4"/>
      <c r="BN49" s="4">
        <v>8984.24</v>
      </c>
      <c r="BO49" s="4"/>
      <c r="BP49" s="4">
        <v>8984.24</v>
      </c>
      <c r="BQ49" s="4">
        <v>8984.24</v>
      </c>
      <c r="BR49" s="4"/>
      <c r="BS49" s="4"/>
      <c r="BT49" s="4"/>
      <c r="BU49" s="4"/>
      <c r="BV49" s="4"/>
      <c r="BW49" s="4"/>
      <c r="BX49" s="4"/>
      <c r="BY49" s="4"/>
      <c r="BZ49" s="4"/>
      <c r="CA49" s="4"/>
      <c r="CB49" s="4"/>
      <c r="CC49" s="4">
        <v>1618057.9000000004</v>
      </c>
      <c r="CD49" s="1"/>
      <c r="CE49" s="1"/>
    </row>
    <row r="50" spans="4:83">
      <c r="D50" s="2">
        <v>41855</v>
      </c>
      <c r="E50" s="11">
        <f t="shared" si="7"/>
        <v>1627247.1999999997</v>
      </c>
      <c r="F50" s="4">
        <f t="shared" si="8"/>
        <v>1188725.1200000001</v>
      </c>
      <c r="G50" s="4">
        <f t="shared" si="18"/>
        <v>0.73051293005758455</v>
      </c>
      <c r="H50" s="4">
        <f t="shared" si="1"/>
        <v>0</v>
      </c>
      <c r="I50" s="4">
        <f t="shared" si="2"/>
        <v>0</v>
      </c>
      <c r="J50" s="4">
        <f t="shared" si="9"/>
        <v>0</v>
      </c>
      <c r="K50" s="4">
        <f t="shared" si="10"/>
        <v>0</v>
      </c>
      <c r="L50" s="4">
        <f t="shared" si="11"/>
        <v>0</v>
      </c>
      <c r="M50" s="4">
        <f t="shared" si="19"/>
        <v>0</v>
      </c>
      <c r="N50" s="4">
        <f t="shared" si="12"/>
        <v>9971.74</v>
      </c>
      <c r="O50" s="4">
        <f t="shared" si="20"/>
        <v>6.127981046764131E-3</v>
      </c>
      <c r="P50" s="4">
        <f t="shared" si="13"/>
        <v>1198696.8600000001</v>
      </c>
      <c r="Q50" s="4">
        <f t="shared" si="21"/>
        <v>0.73664091110434871</v>
      </c>
      <c r="R50" s="4">
        <v>46</v>
      </c>
      <c r="S50" s="4">
        <f t="shared" si="22"/>
        <v>1202676.3075030239</v>
      </c>
      <c r="T50" s="4">
        <f t="shared" si="23"/>
        <v>0.73908642000000002</v>
      </c>
      <c r="U50" s="11">
        <f t="shared" si="6"/>
        <v>428550.33999999962</v>
      </c>
      <c r="V50" s="11">
        <f t="shared" si="16"/>
        <v>0.26335908889565129</v>
      </c>
      <c r="W50" s="11">
        <f t="shared" si="17"/>
        <v>0.26091357999999998</v>
      </c>
      <c r="Y50" s="3">
        <v>41855</v>
      </c>
      <c r="Z50" s="4"/>
      <c r="AA50" s="4">
        <v>63272.99</v>
      </c>
      <c r="AB50" s="4"/>
      <c r="AC50" s="4">
        <v>63272.99</v>
      </c>
      <c r="AD50" s="4"/>
      <c r="AE50" s="4"/>
      <c r="AF50" s="4">
        <v>63272.99</v>
      </c>
      <c r="AG50" s="4"/>
      <c r="AH50" s="4">
        <v>561170.51</v>
      </c>
      <c r="AI50" s="4"/>
      <c r="AJ50" s="4">
        <v>561170.51</v>
      </c>
      <c r="AK50" s="4"/>
      <c r="AL50" s="4">
        <v>362577.78</v>
      </c>
      <c r="AM50" s="4"/>
      <c r="AN50" s="4">
        <v>362577.78</v>
      </c>
      <c r="AO50" s="4"/>
      <c r="AP50" s="4">
        <v>172666.64</v>
      </c>
      <c r="AQ50" s="4"/>
      <c r="AR50" s="4">
        <v>172666.64</v>
      </c>
      <c r="AS50" s="4"/>
      <c r="AT50" s="4"/>
      <c r="AU50" s="4"/>
      <c r="AV50" s="4"/>
      <c r="AW50" s="4">
        <v>92310.19</v>
      </c>
      <c r="AX50" s="4"/>
      <c r="AY50" s="4">
        <v>92310.19</v>
      </c>
      <c r="AZ50" s="4"/>
      <c r="BA50" s="4"/>
      <c r="BB50" s="4"/>
      <c r="BC50" s="4">
        <v>1188725.1200000001</v>
      </c>
      <c r="BD50" s="4"/>
      <c r="BE50" s="4">
        <v>48171.69</v>
      </c>
      <c r="BF50" s="4"/>
      <c r="BG50" s="4">
        <v>48171.69</v>
      </c>
      <c r="BH50" s="4"/>
      <c r="BI50" s="4"/>
      <c r="BJ50" s="4"/>
      <c r="BK50" s="4">
        <v>48171.69</v>
      </c>
      <c r="BL50" s="4"/>
      <c r="BM50" s="4"/>
      <c r="BN50" s="4">
        <v>9971.74</v>
      </c>
      <c r="BO50" s="4"/>
      <c r="BP50" s="4">
        <v>9971.74</v>
      </c>
      <c r="BQ50" s="4">
        <v>9971.74</v>
      </c>
      <c r="BR50" s="4"/>
      <c r="BS50" s="4"/>
      <c r="BT50" s="4"/>
      <c r="BU50" s="4"/>
      <c r="BV50" s="4"/>
      <c r="BW50" s="4"/>
      <c r="BX50" s="4"/>
      <c r="BY50" s="4"/>
      <c r="BZ50" s="4"/>
      <c r="CA50" s="4"/>
      <c r="CB50" s="4"/>
      <c r="CC50" s="4">
        <v>1627247.1999999997</v>
      </c>
      <c r="CD50" s="1"/>
      <c r="CE50" s="1"/>
    </row>
    <row r="51" spans="4:83">
      <c r="D51" s="2">
        <v>41862</v>
      </c>
      <c r="E51" s="11">
        <f t="shared" si="7"/>
        <v>1702655.95</v>
      </c>
      <c r="F51" s="4">
        <f t="shared" si="8"/>
        <v>1257451.96</v>
      </c>
      <c r="G51" s="4">
        <f t="shared" si="18"/>
        <v>0.73852381040338777</v>
      </c>
      <c r="H51" s="4">
        <f t="shared" si="1"/>
        <v>0</v>
      </c>
      <c r="I51" s="4">
        <f t="shared" si="2"/>
        <v>0</v>
      </c>
      <c r="J51" s="4">
        <f t="shared" si="9"/>
        <v>0</v>
      </c>
      <c r="K51" s="4">
        <f t="shared" si="10"/>
        <v>0</v>
      </c>
      <c r="L51" s="4">
        <f t="shared" si="11"/>
        <v>0</v>
      </c>
      <c r="M51" s="4">
        <f t="shared" si="19"/>
        <v>0</v>
      </c>
      <c r="N51" s="4">
        <f t="shared" si="12"/>
        <v>7001.87</v>
      </c>
      <c r="O51" s="4">
        <f t="shared" si="20"/>
        <v>4.1123222809634563E-3</v>
      </c>
      <c r="P51" s="4">
        <f t="shared" si="13"/>
        <v>1264453.83</v>
      </c>
      <c r="Q51" s="4">
        <f t="shared" si="21"/>
        <v>0.74263613268435125</v>
      </c>
      <c r="R51" s="4">
        <v>47</v>
      </c>
      <c r="S51" s="4">
        <f t="shared" si="22"/>
        <v>1258987.5506613555</v>
      </c>
      <c r="T51" s="4">
        <f t="shared" si="23"/>
        <v>0.73942569000000002</v>
      </c>
      <c r="U51" s="11">
        <f t="shared" si="6"/>
        <v>438202.11999999988</v>
      </c>
      <c r="V51" s="11">
        <f t="shared" si="16"/>
        <v>0.25736386731564875</v>
      </c>
      <c r="W51" s="11">
        <f t="shared" si="17"/>
        <v>0.26057430999999998</v>
      </c>
      <c r="Y51" s="3">
        <v>41862</v>
      </c>
      <c r="Z51" s="4"/>
      <c r="AA51" s="4">
        <v>64430.559999999998</v>
      </c>
      <c r="AB51" s="4"/>
      <c r="AC51" s="4">
        <v>64430.559999999998</v>
      </c>
      <c r="AD51" s="4"/>
      <c r="AE51" s="4"/>
      <c r="AF51" s="4">
        <v>64430.559999999998</v>
      </c>
      <c r="AG51" s="4"/>
      <c r="AH51" s="4">
        <v>599738.82999999996</v>
      </c>
      <c r="AI51" s="4"/>
      <c r="AJ51" s="4">
        <v>599738.82999999996</v>
      </c>
      <c r="AK51" s="4"/>
      <c r="AL51" s="4">
        <v>380519.51</v>
      </c>
      <c r="AM51" s="4"/>
      <c r="AN51" s="4">
        <v>380519.51</v>
      </c>
      <c r="AO51" s="4"/>
      <c r="AP51" s="4">
        <v>180888.88</v>
      </c>
      <c r="AQ51" s="4"/>
      <c r="AR51" s="4">
        <v>180888.88</v>
      </c>
      <c r="AS51" s="4"/>
      <c r="AT51" s="4"/>
      <c r="AU51" s="4"/>
      <c r="AV51" s="4"/>
      <c r="AW51" s="4">
        <v>96304.74</v>
      </c>
      <c r="AX51" s="4"/>
      <c r="AY51" s="4">
        <v>96304.74</v>
      </c>
      <c r="AZ51" s="4"/>
      <c r="BA51" s="4"/>
      <c r="BB51" s="4"/>
      <c r="BC51" s="4">
        <v>1257451.96</v>
      </c>
      <c r="BD51" s="4"/>
      <c r="BE51" s="4">
        <v>48501.09</v>
      </c>
      <c r="BF51" s="4"/>
      <c r="BG51" s="4">
        <v>48501.09</v>
      </c>
      <c r="BH51" s="4"/>
      <c r="BI51" s="4"/>
      <c r="BJ51" s="4"/>
      <c r="BK51" s="4">
        <v>48501.09</v>
      </c>
      <c r="BL51" s="4"/>
      <c r="BM51" s="4"/>
      <c r="BN51" s="4">
        <v>7001.87</v>
      </c>
      <c r="BO51" s="4"/>
      <c r="BP51" s="4">
        <v>7001.87</v>
      </c>
      <c r="BQ51" s="4">
        <v>7001.87</v>
      </c>
      <c r="BR51" s="4"/>
      <c r="BS51" s="4"/>
      <c r="BT51" s="4"/>
      <c r="BU51" s="4"/>
      <c r="BV51" s="4"/>
      <c r="BW51" s="4"/>
      <c r="BX51" s="4"/>
      <c r="BY51" s="4"/>
      <c r="BZ51" s="4"/>
      <c r="CA51" s="4"/>
      <c r="CB51" s="4"/>
      <c r="CC51" s="4">
        <v>1702655.95</v>
      </c>
      <c r="CD51" s="1"/>
      <c r="CE51" s="1"/>
    </row>
    <row r="52" spans="4:83">
      <c r="D52" s="2">
        <v>41869</v>
      </c>
      <c r="E52" s="11">
        <f t="shared" si="7"/>
        <v>1665931.0999999996</v>
      </c>
      <c r="F52" s="4">
        <f t="shared" si="8"/>
        <v>1224614.8199999998</v>
      </c>
      <c r="G52" s="4">
        <f t="shared" si="18"/>
        <v>0.73509331808500367</v>
      </c>
      <c r="H52" s="4">
        <f t="shared" si="1"/>
        <v>0</v>
      </c>
      <c r="I52" s="4">
        <f t="shared" si="2"/>
        <v>0</v>
      </c>
      <c r="J52" s="4">
        <f t="shared" si="9"/>
        <v>0</v>
      </c>
      <c r="K52" s="4">
        <f t="shared" si="10"/>
        <v>0</v>
      </c>
      <c r="L52" s="4">
        <f t="shared" si="11"/>
        <v>0</v>
      </c>
      <c r="M52" s="4">
        <f t="shared" si="19"/>
        <v>0</v>
      </c>
      <c r="N52" s="4">
        <f t="shared" si="12"/>
        <v>1789.41</v>
      </c>
      <c r="O52" s="4">
        <f t="shared" si="20"/>
        <v>1.0741200521438134E-3</v>
      </c>
      <c r="P52" s="4">
        <f t="shared" si="13"/>
        <v>1226404.2299999997</v>
      </c>
      <c r="Q52" s="4">
        <f t="shared" si="21"/>
        <v>0.73616743813714747</v>
      </c>
      <c r="R52" s="4">
        <v>48</v>
      </c>
      <c r="S52" s="4">
        <f t="shared" si="22"/>
        <v>1232397.4535542557</v>
      </c>
      <c r="T52" s="4">
        <f t="shared" si="23"/>
        <v>0.73976496000000003</v>
      </c>
      <c r="U52" s="11">
        <f t="shared" si="6"/>
        <v>439526.86999999988</v>
      </c>
      <c r="V52" s="11">
        <f t="shared" si="16"/>
        <v>0.26383256186285253</v>
      </c>
      <c r="W52" s="11">
        <f t="shared" si="17"/>
        <v>0.26023503999999997</v>
      </c>
      <c r="Y52" s="3">
        <v>41869</v>
      </c>
      <c r="Z52" s="4"/>
      <c r="AA52" s="4">
        <v>64293.02</v>
      </c>
      <c r="AB52" s="4"/>
      <c r="AC52" s="4">
        <v>64293.02</v>
      </c>
      <c r="AD52" s="4"/>
      <c r="AE52" s="4"/>
      <c r="AF52" s="4">
        <v>64293.02</v>
      </c>
      <c r="AG52" s="4"/>
      <c r="AH52" s="4">
        <v>558805.76000000001</v>
      </c>
      <c r="AI52" s="4"/>
      <c r="AJ52" s="4">
        <v>558805.76000000001</v>
      </c>
      <c r="AK52" s="4"/>
      <c r="AL52" s="4">
        <v>387666.25</v>
      </c>
      <c r="AM52" s="4"/>
      <c r="AN52" s="4">
        <v>387666.25</v>
      </c>
      <c r="AO52" s="4"/>
      <c r="AP52" s="4">
        <v>180870.39999999999</v>
      </c>
      <c r="AQ52" s="4"/>
      <c r="AR52" s="4">
        <v>180870.39999999999</v>
      </c>
      <c r="AS52" s="4"/>
      <c r="AT52" s="4"/>
      <c r="AU52" s="4"/>
      <c r="AV52" s="4"/>
      <c r="AW52" s="4">
        <v>97272.41</v>
      </c>
      <c r="AX52" s="4"/>
      <c r="AY52" s="4">
        <v>97272.41</v>
      </c>
      <c r="AZ52" s="4"/>
      <c r="BA52" s="4"/>
      <c r="BB52" s="4"/>
      <c r="BC52" s="4">
        <v>1224614.8199999998</v>
      </c>
      <c r="BD52" s="4"/>
      <c r="BE52" s="4">
        <v>47948.65</v>
      </c>
      <c r="BF52" s="4"/>
      <c r="BG52" s="4">
        <v>47948.65</v>
      </c>
      <c r="BH52" s="4"/>
      <c r="BI52" s="4"/>
      <c r="BJ52" s="4"/>
      <c r="BK52" s="4">
        <v>47948.65</v>
      </c>
      <c r="BL52" s="4"/>
      <c r="BM52" s="4"/>
      <c r="BN52" s="4">
        <v>1789.41</v>
      </c>
      <c r="BO52" s="4"/>
      <c r="BP52" s="4">
        <v>1789.41</v>
      </c>
      <c r="BQ52" s="4">
        <v>1789.41</v>
      </c>
      <c r="BR52" s="4"/>
      <c r="BS52" s="4"/>
      <c r="BT52" s="4"/>
      <c r="BU52" s="4"/>
      <c r="BV52" s="4"/>
      <c r="BW52" s="4"/>
      <c r="BX52" s="4"/>
      <c r="BY52" s="4"/>
      <c r="BZ52" s="4"/>
      <c r="CA52" s="4"/>
      <c r="CB52" s="4"/>
      <c r="CC52" s="4">
        <v>1665931.0999999996</v>
      </c>
      <c r="CD52" s="1"/>
      <c r="CE52" s="1"/>
    </row>
    <row r="53" spans="4:83">
      <c r="D53" s="2">
        <v>41876</v>
      </c>
      <c r="E53" s="11">
        <f t="shared" si="7"/>
        <v>1956880.59</v>
      </c>
      <c r="F53" s="4">
        <f t="shared" si="8"/>
        <v>1449233.34</v>
      </c>
      <c r="G53" s="4">
        <f t="shared" si="18"/>
        <v>0.74058343028482898</v>
      </c>
      <c r="H53" s="4">
        <f t="shared" si="1"/>
        <v>0</v>
      </c>
      <c r="I53" s="4">
        <f t="shared" si="2"/>
        <v>0</v>
      </c>
      <c r="J53" s="4">
        <f t="shared" si="9"/>
        <v>0</v>
      </c>
      <c r="K53" s="4">
        <f t="shared" si="10"/>
        <v>0</v>
      </c>
      <c r="L53" s="4">
        <f t="shared" si="11"/>
        <v>0</v>
      </c>
      <c r="M53" s="4">
        <f t="shared" si="19"/>
        <v>0</v>
      </c>
      <c r="N53" s="4">
        <f t="shared" si="12"/>
        <v>387.17</v>
      </c>
      <c r="O53" s="4">
        <f t="shared" si="20"/>
        <v>1.9785060058263442E-4</v>
      </c>
      <c r="P53" s="4">
        <f t="shared" si="13"/>
        <v>1449620.51</v>
      </c>
      <c r="Q53" s="4">
        <f t="shared" si="21"/>
        <v>0.74078128088541162</v>
      </c>
      <c r="R53" s="4">
        <v>49</v>
      </c>
      <c r="S53" s="4">
        <f t="shared" si="22"/>
        <v>1448295.6022638958</v>
      </c>
      <c r="T53" s="4">
        <f t="shared" si="23"/>
        <v>0.74010423000000003</v>
      </c>
      <c r="U53" s="11">
        <f t="shared" si="6"/>
        <v>507260.08000000007</v>
      </c>
      <c r="V53" s="11">
        <f t="shared" si="16"/>
        <v>0.25921871911458844</v>
      </c>
      <c r="W53" s="11">
        <f t="shared" si="17"/>
        <v>0.25989576999999997</v>
      </c>
      <c r="Y53" s="3">
        <v>41876</v>
      </c>
      <c r="Z53" s="4"/>
      <c r="AA53" s="4">
        <v>72701.61</v>
      </c>
      <c r="AB53" s="4"/>
      <c r="AC53" s="4">
        <v>72701.61</v>
      </c>
      <c r="AD53" s="4"/>
      <c r="AE53" s="4"/>
      <c r="AF53" s="4">
        <v>72701.61</v>
      </c>
      <c r="AG53" s="4"/>
      <c r="AH53" s="4">
        <v>709777.9</v>
      </c>
      <c r="AI53" s="4"/>
      <c r="AJ53" s="4">
        <v>709777.9</v>
      </c>
      <c r="AK53" s="4"/>
      <c r="AL53" s="4">
        <v>434278.88</v>
      </c>
      <c r="AM53" s="4"/>
      <c r="AN53" s="4">
        <v>434278.88</v>
      </c>
      <c r="AO53" s="4"/>
      <c r="AP53" s="4">
        <v>201100.95</v>
      </c>
      <c r="AQ53" s="4"/>
      <c r="AR53" s="4">
        <v>201100.95</v>
      </c>
      <c r="AS53" s="4"/>
      <c r="AT53" s="4"/>
      <c r="AU53" s="4"/>
      <c r="AV53" s="4"/>
      <c r="AW53" s="4">
        <v>104075.61</v>
      </c>
      <c r="AX53" s="4"/>
      <c r="AY53" s="4">
        <v>104075.61</v>
      </c>
      <c r="AZ53" s="4"/>
      <c r="BA53" s="4"/>
      <c r="BB53" s="4"/>
      <c r="BC53" s="4">
        <v>1449233.34</v>
      </c>
      <c r="BD53" s="4"/>
      <c r="BE53" s="4">
        <v>55692.23</v>
      </c>
      <c r="BF53" s="4"/>
      <c r="BG53" s="4">
        <v>55692.23</v>
      </c>
      <c r="BH53" s="4"/>
      <c r="BI53" s="4"/>
      <c r="BJ53" s="4"/>
      <c r="BK53" s="4">
        <v>55692.23</v>
      </c>
      <c r="BL53" s="4"/>
      <c r="BM53" s="4"/>
      <c r="BN53" s="4">
        <v>387.17</v>
      </c>
      <c r="BO53" s="4"/>
      <c r="BP53" s="4">
        <v>387.17</v>
      </c>
      <c r="BQ53" s="4">
        <v>387.17</v>
      </c>
      <c r="BR53" s="4"/>
      <c r="BS53" s="4"/>
      <c r="BT53" s="4"/>
      <c r="BU53" s="4"/>
      <c r="BV53" s="4"/>
      <c r="BW53" s="4"/>
      <c r="BX53" s="4"/>
      <c r="BY53" s="4"/>
      <c r="BZ53" s="4"/>
      <c r="CA53" s="4"/>
      <c r="CB53" s="4"/>
      <c r="CC53" s="4">
        <v>1956880.59</v>
      </c>
      <c r="CD53" s="1"/>
      <c r="CE53" s="1"/>
    </row>
    <row r="54" spans="4:83">
      <c r="D54" s="2">
        <v>41883</v>
      </c>
      <c r="E54" s="11">
        <f t="shared" si="7"/>
        <v>1369932.2399999995</v>
      </c>
      <c r="F54" s="4">
        <f t="shared" si="8"/>
        <v>1006772.0399999999</v>
      </c>
      <c r="G54" s="4">
        <f t="shared" si="18"/>
        <v>0.73490645055554005</v>
      </c>
      <c r="H54" s="4">
        <f t="shared" si="1"/>
        <v>0</v>
      </c>
      <c r="I54" s="4">
        <f t="shared" si="2"/>
        <v>0</v>
      </c>
      <c r="J54" s="4">
        <f t="shared" si="9"/>
        <v>0</v>
      </c>
      <c r="K54" s="4">
        <f t="shared" si="10"/>
        <v>0</v>
      </c>
      <c r="L54" s="4">
        <f t="shared" si="11"/>
        <v>0</v>
      </c>
      <c r="M54" s="4">
        <f t="shared" si="19"/>
        <v>0</v>
      </c>
      <c r="N54" s="4">
        <f t="shared" si="12"/>
        <v>16.14</v>
      </c>
      <c r="O54" s="4">
        <f t="shared" si="20"/>
        <v>1.1781604614254502E-5</v>
      </c>
      <c r="P54" s="4">
        <f t="shared" si="13"/>
        <v>1006788.1799999999</v>
      </c>
      <c r="Q54" s="4">
        <f t="shared" si="21"/>
        <v>0.73491823216015439</v>
      </c>
      <c r="R54" s="4">
        <v>50</v>
      </c>
      <c r="S54" s="4">
        <f t="shared" si="22"/>
        <v>1014357.4225484397</v>
      </c>
      <c r="T54" s="4">
        <f t="shared" si="23"/>
        <v>0.74044350000000003</v>
      </c>
      <c r="U54" s="11">
        <f t="shared" si="6"/>
        <v>363144.05999999959</v>
      </c>
      <c r="V54" s="11">
        <f t="shared" si="16"/>
        <v>0.26508176783984566</v>
      </c>
      <c r="W54" s="11">
        <f t="shared" si="17"/>
        <v>0.25955649999999997</v>
      </c>
      <c r="Y54" s="3">
        <v>41883</v>
      </c>
      <c r="Z54" s="4"/>
      <c r="AA54" s="4">
        <v>51074.83</v>
      </c>
      <c r="AB54" s="4"/>
      <c r="AC54" s="4">
        <v>51074.83</v>
      </c>
      <c r="AD54" s="4"/>
      <c r="AE54" s="4"/>
      <c r="AF54" s="4">
        <v>51074.83</v>
      </c>
      <c r="AG54" s="4"/>
      <c r="AH54" s="4">
        <v>413905.41</v>
      </c>
      <c r="AI54" s="4"/>
      <c r="AJ54" s="4">
        <v>413905.41</v>
      </c>
      <c r="AK54" s="4"/>
      <c r="AL54" s="4">
        <v>310023.21999999997</v>
      </c>
      <c r="AM54" s="4"/>
      <c r="AN54" s="4">
        <v>310023.21999999997</v>
      </c>
      <c r="AO54" s="4"/>
      <c r="AP54" s="4">
        <v>202261.03</v>
      </c>
      <c r="AQ54" s="4"/>
      <c r="AR54" s="4">
        <v>202261.03</v>
      </c>
      <c r="AS54" s="4"/>
      <c r="AT54" s="4"/>
      <c r="AU54" s="4"/>
      <c r="AV54" s="4"/>
      <c r="AW54" s="4">
        <v>80582.38</v>
      </c>
      <c r="AX54" s="4"/>
      <c r="AY54" s="4">
        <v>80582.38</v>
      </c>
      <c r="AZ54" s="4"/>
      <c r="BA54" s="4"/>
      <c r="BB54" s="4"/>
      <c r="BC54" s="4">
        <v>1006772.0399999999</v>
      </c>
      <c r="BD54" s="4"/>
      <c r="BE54" s="4">
        <v>38367.519999999997</v>
      </c>
      <c r="BF54" s="4"/>
      <c r="BG54" s="4">
        <v>38367.519999999997</v>
      </c>
      <c r="BH54" s="4"/>
      <c r="BI54" s="4"/>
      <c r="BJ54" s="4"/>
      <c r="BK54" s="4">
        <v>38367.519999999997</v>
      </c>
      <c r="BL54" s="4"/>
      <c r="BM54" s="4"/>
      <c r="BN54" s="4">
        <v>16.14</v>
      </c>
      <c r="BO54" s="4"/>
      <c r="BP54" s="4">
        <v>16.14</v>
      </c>
      <c r="BQ54" s="4">
        <v>16.14</v>
      </c>
      <c r="BR54" s="4"/>
      <c r="BS54" s="4"/>
      <c r="BT54" s="4"/>
      <c r="BU54" s="4"/>
      <c r="BV54" s="4"/>
      <c r="BW54" s="4"/>
      <c r="BX54" s="4"/>
      <c r="BY54" s="4"/>
      <c r="BZ54" s="4"/>
      <c r="CA54" s="4"/>
      <c r="CB54" s="4"/>
      <c r="CC54" s="4">
        <v>1369932.2399999995</v>
      </c>
      <c r="CD54" s="1"/>
      <c r="CE54" s="1"/>
    </row>
    <row r="55" spans="4:83">
      <c r="D55" s="2">
        <v>41890</v>
      </c>
      <c r="E55" s="11">
        <f t="shared" si="7"/>
        <v>1574647.72</v>
      </c>
      <c r="F55" s="4">
        <f t="shared" si="8"/>
        <v>1158923.54</v>
      </c>
      <c r="G55" s="4">
        <f t="shared" si="18"/>
        <v>0.73598908840384947</v>
      </c>
      <c r="H55" s="4">
        <f t="shared" si="1"/>
        <v>0</v>
      </c>
      <c r="I55" s="4">
        <f t="shared" si="2"/>
        <v>0</v>
      </c>
      <c r="J55" s="4">
        <f t="shared" si="9"/>
        <v>0</v>
      </c>
      <c r="K55" s="4">
        <f t="shared" si="10"/>
        <v>0</v>
      </c>
      <c r="L55" s="4">
        <f t="shared" si="11"/>
        <v>0</v>
      </c>
      <c r="M55" s="4">
        <f t="shared" si="19"/>
        <v>0</v>
      </c>
      <c r="N55" s="4">
        <f t="shared" si="12"/>
        <v>10.4</v>
      </c>
      <c r="O55" s="4">
        <f t="shared" si="20"/>
        <v>6.6046518646088027E-6</v>
      </c>
      <c r="P55" s="4">
        <f t="shared" si="13"/>
        <v>1158933.94</v>
      </c>
      <c r="Q55" s="4">
        <f t="shared" si="21"/>
        <v>0.73599569305571411</v>
      </c>
      <c r="R55" s="4">
        <v>51</v>
      </c>
      <c r="S55" s="4">
        <f t="shared" si="22"/>
        <v>1166471.8997957844</v>
      </c>
      <c r="T55" s="4">
        <f t="shared" si="23"/>
        <v>0.74078277000000003</v>
      </c>
      <c r="U55" s="11">
        <f t="shared" si="6"/>
        <v>415713.78</v>
      </c>
      <c r="V55" s="11">
        <f t="shared" si="16"/>
        <v>0.26400430694428595</v>
      </c>
      <c r="W55" s="11">
        <f t="shared" si="17"/>
        <v>0.25921722999999997</v>
      </c>
      <c r="Y55" s="3">
        <v>41890</v>
      </c>
      <c r="Z55" s="4"/>
      <c r="AA55" s="4">
        <v>59058.58</v>
      </c>
      <c r="AB55" s="4"/>
      <c r="AC55" s="4">
        <v>59058.58</v>
      </c>
      <c r="AD55" s="4"/>
      <c r="AE55" s="4"/>
      <c r="AF55" s="4">
        <v>59058.58</v>
      </c>
      <c r="AG55" s="4"/>
      <c r="AH55" s="4">
        <v>484012.73</v>
      </c>
      <c r="AI55" s="4"/>
      <c r="AJ55" s="4">
        <v>484012.73</v>
      </c>
      <c r="AK55" s="4"/>
      <c r="AL55" s="4">
        <v>360998.48</v>
      </c>
      <c r="AM55" s="4"/>
      <c r="AN55" s="4">
        <v>360998.48</v>
      </c>
      <c r="AO55" s="4"/>
      <c r="AP55" s="4">
        <v>219102.84</v>
      </c>
      <c r="AQ55" s="4"/>
      <c r="AR55" s="4">
        <v>219102.84</v>
      </c>
      <c r="AS55" s="4"/>
      <c r="AT55" s="4"/>
      <c r="AU55" s="4"/>
      <c r="AV55" s="4"/>
      <c r="AW55" s="4">
        <v>94809.49</v>
      </c>
      <c r="AX55" s="4"/>
      <c r="AY55" s="4">
        <v>94809.49</v>
      </c>
      <c r="AZ55" s="4"/>
      <c r="BA55" s="4"/>
      <c r="BB55" s="4"/>
      <c r="BC55" s="4">
        <v>1158923.54</v>
      </c>
      <c r="BD55" s="4"/>
      <c r="BE55" s="4">
        <v>43979.48</v>
      </c>
      <c r="BF55" s="4"/>
      <c r="BG55" s="4">
        <v>43979.48</v>
      </c>
      <c r="BH55" s="4"/>
      <c r="BI55" s="4"/>
      <c r="BJ55" s="4"/>
      <c r="BK55" s="4">
        <v>43979.48</v>
      </c>
      <c r="BL55" s="4"/>
      <c r="BM55" s="4"/>
      <c r="BN55" s="4">
        <v>10.4</v>
      </c>
      <c r="BO55" s="4"/>
      <c r="BP55" s="4">
        <v>10.4</v>
      </c>
      <c r="BQ55" s="4">
        <v>10.4</v>
      </c>
      <c r="BR55" s="4"/>
      <c r="BS55" s="4"/>
      <c r="BT55" s="4"/>
      <c r="BU55" s="4"/>
      <c r="BV55" s="4"/>
      <c r="BW55" s="4"/>
      <c r="BX55" s="4"/>
      <c r="BY55" s="4"/>
      <c r="BZ55" s="4"/>
      <c r="CA55" s="4"/>
      <c r="CB55" s="4"/>
      <c r="CC55" s="4">
        <v>1574647.72</v>
      </c>
      <c r="CD55" s="1"/>
      <c r="CE55" s="1"/>
    </row>
    <row r="56" spans="4:83">
      <c r="D56" s="2">
        <v>41897</v>
      </c>
      <c r="E56" s="11">
        <f t="shared" si="7"/>
        <v>1514321.42</v>
      </c>
      <c r="F56" s="4">
        <f t="shared" si="8"/>
        <v>1109564.99</v>
      </c>
      <c r="G56" s="4">
        <f t="shared" si="18"/>
        <v>0.7327143203191302</v>
      </c>
      <c r="H56" s="4">
        <f t="shared" si="1"/>
        <v>0</v>
      </c>
      <c r="I56" s="4">
        <f t="shared" si="2"/>
        <v>0</v>
      </c>
      <c r="J56" s="4">
        <f t="shared" si="9"/>
        <v>0</v>
      </c>
      <c r="K56" s="4">
        <f t="shared" si="10"/>
        <v>0</v>
      </c>
      <c r="L56" s="4">
        <f t="shared" si="11"/>
        <v>0</v>
      </c>
      <c r="M56" s="4">
        <f t="shared" si="19"/>
        <v>0</v>
      </c>
      <c r="N56" s="4">
        <f t="shared" si="12"/>
        <v>27.14</v>
      </c>
      <c r="O56" s="4">
        <f t="shared" si="20"/>
        <v>1.7922218917038101E-5</v>
      </c>
      <c r="P56" s="4">
        <f t="shared" si="13"/>
        <v>1109592.1299999999</v>
      </c>
      <c r="Q56" s="4">
        <f t="shared" si="21"/>
        <v>0.73273224253804714</v>
      </c>
      <c r="R56" s="4">
        <v>52</v>
      </c>
      <c r="S56" s="4">
        <f t="shared" si="22"/>
        <v>1122296.9800060969</v>
      </c>
      <c r="T56" s="4">
        <f t="shared" si="23"/>
        <v>0.74112204000000004</v>
      </c>
      <c r="U56" s="11">
        <f t="shared" si="6"/>
        <v>404729.29000000004</v>
      </c>
      <c r="V56" s="11">
        <f t="shared" si="16"/>
        <v>0.26726775746195286</v>
      </c>
      <c r="W56" s="11">
        <f t="shared" si="17"/>
        <v>0.25887795999999996</v>
      </c>
      <c r="Y56" s="3">
        <v>41897</v>
      </c>
      <c r="Z56" s="4"/>
      <c r="AA56" s="4">
        <v>57433.97</v>
      </c>
      <c r="AB56" s="4"/>
      <c r="AC56" s="4">
        <v>57433.97</v>
      </c>
      <c r="AD56" s="4"/>
      <c r="AE56" s="4"/>
      <c r="AF56" s="4">
        <v>57433.97</v>
      </c>
      <c r="AG56" s="4"/>
      <c r="AH56" s="4">
        <v>448523.41</v>
      </c>
      <c r="AI56" s="4"/>
      <c r="AJ56" s="4">
        <v>448523.41</v>
      </c>
      <c r="AK56" s="4"/>
      <c r="AL56" s="4">
        <v>367896.61</v>
      </c>
      <c r="AM56" s="4"/>
      <c r="AN56" s="4">
        <v>367896.61</v>
      </c>
      <c r="AO56" s="4"/>
      <c r="AP56" s="4">
        <v>198792.08</v>
      </c>
      <c r="AQ56" s="4"/>
      <c r="AR56" s="4">
        <v>198792.08</v>
      </c>
      <c r="AS56" s="4"/>
      <c r="AT56" s="4"/>
      <c r="AU56" s="4"/>
      <c r="AV56" s="4"/>
      <c r="AW56" s="4">
        <v>94352.89</v>
      </c>
      <c r="AX56" s="4"/>
      <c r="AY56" s="4">
        <v>94352.89</v>
      </c>
      <c r="AZ56" s="4"/>
      <c r="BA56" s="4"/>
      <c r="BB56" s="4"/>
      <c r="BC56" s="4">
        <v>1109564.99</v>
      </c>
      <c r="BD56" s="4"/>
      <c r="BE56" s="4">
        <v>42382.79</v>
      </c>
      <c r="BF56" s="4"/>
      <c r="BG56" s="4">
        <v>42382.79</v>
      </c>
      <c r="BH56" s="4"/>
      <c r="BI56" s="4"/>
      <c r="BJ56" s="4"/>
      <c r="BK56" s="4">
        <v>42382.79</v>
      </c>
      <c r="BL56" s="4"/>
      <c r="BM56" s="4"/>
      <c r="BN56" s="4">
        <v>27.14</v>
      </c>
      <c r="BO56" s="4"/>
      <c r="BP56" s="4">
        <v>27.14</v>
      </c>
      <c r="BQ56" s="4">
        <v>27.14</v>
      </c>
      <c r="BR56" s="4"/>
      <c r="BS56" s="4"/>
      <c r="BT56" s="4"/>
      <c r="BU56" s="4"/>
      <c r="BV56" s="4"/>
      <c r="BW56" s="4"/>
      <c r="BX56" s="4"/>
      <c r="BY56" s="4"/>
      <c r="BZ56" s="4"/>
      <c r="CA56" s="4"/>
      <c r="CB56" s="4"/>
      <c r="CC56" s="4">
        <v>1514321.42</v>
      </c>
      <c r="CD56" s="1"/>
      <c r="CE56" s="1"/>
    </row>
    <row r="57" spans="4:83">
      <c r="D57" s="2">
        <v>41904</v>
      </c>
      <c r="E57" s="11">
        <f t="shared" si="7"/>
        <v>1528895.0499999998</v>
      </c>
      <c r="F57" s="4">
        <f t="shared" si="8"/>
        <v>1127247.53</v>
      </c>
      <c r="G57" s="4">
        <f t="shared" si="18"/>
        <v>0.7372955586454415</v>
      </c>
      <c r="H57" s="4">
        <f t="shared" si="1"/>
        <v>0</v>
      </c>
      <c r="I57" s="4">
        <f t="shared" si="2"/>
        <v>0</v>
      </c>
      <c r="J57" s="4">
        <f t="shared" si="9"/>
        <v>0</v>
      </c>
      <c r="K57" s="4">
        <f t="shared" si="10"/>
        <v>0</v>
      </c>
      <c r="L57" s="4">
        <f t="shared" si="11"/>
        <v>0</v>
      </c>
      <c r="M57" s="4">
        <f t="shared" si="19"/>
        <v>0</v>
      </c>
      <c r="N57" s="4">
        <f t="shared" si="12"/>
        <v>-17.760000000000002</v>
      </c>
      <c r="O57" s="4">
        <f t="shared" si="20"/>
        <v>-1.1616232258715211E-5</v>
      </c>
      <c r="P57" s="4">
        <f t="shared" si="13"/>
        <v>1127229.77</v>
      </c>
      <c r="Q57" s="4">
        <f t="shared" si="21"/>
        <v>0.73728394241318274</v>
      </c>
      <c r="R57" s="4">
        <v>53</v>
      </c>
      <c r="S57" s="4">
        <f t="shared" si="22"/>
        <v>1133616.5266255154</v>
      </c>
      <c r="T57" s="4">
        <f t="shared" si="23"/>
        <v>0.74146131000000004</v>
      </c>
      <c r="U57" s="11">
        <f t="shared" si="6"/>
        <v>401665.2799999998</v>
      </c>
      <c r="V57" s="11">
        <f t="shared" si="16"/>
        <v>0.26271605758681726</v>
      </c>
      <c r="W57" s="11">
        <f t="shared" si="17"/>
        <v>0.25853868999999996</v>
      </c>
      <c r="Y57" s="3">
        <v>41904</v>
      </c>
      <c r="Z57" s="4"/>
      <c r="AA57" s="4">
        <v>57836.01</v>
      </c>
      <c r="AB57" s="4"/>
      <c r="AC57" s="4">
        <v>57836.01</v>
      </c>
      <c r="AD57" s="4"/>
      <c r="AE57" s="4"/>
      <c r="AF57" s="4">
        <v>57836.01</v>
      </c>
      <c r="AG57" s="4"/>
      <c r="AH57" s="4">
        <v>444004.6</v>
      </c>
      <c r="AI57" s="4"/>
      <c r="AJ57" s="4">
        <v>444004.6</v>
      </c>
      <c r="AK57" s="4"/>
      <c r="AL57" s="4">
        <v>388039.95</v>
      </c>
      <c r="AM57" s="4"/>
      <c r="AN57" s="4">
        <v>388039.95</v>
      </c>
      <c r="AO57" s="4"/>
      <c r="AP57" s="4">
        <v>199359.25</v>
      </c>
      <c r="AQ57" s="4"/>
      <c r="AR57" s="4">
        <v>199359.25</v>
      </c>
      <c r="AS57" s="4"/>
      <c r="AT57" s="4"/>
      <c r="AU57" s="4"/>
      <c r="AV57" s="4"/>
      <c r="AW57" s="4">
        <v>95843.73</v>
      </c>
      <c r="AX57" s="4"/>
      <c r="AY57" s="4">
        <v>95843.73</v>
      </c>
      <c r="AZ57" s="4"/>
      <c r="BA57" s="4"/>
      <c r="BB57" s="4"/>
      <c r="BC57" s="4">
        <v>1127247.53</v>
      </c>
      <c r="BD57" s="4"/>
      <c r="BE57" s="4">
        <v>42309.99</v>
      </c>
      <c r="BF57" s="4"/>
      <c r="BG57" s="4">
        <v>42309.99</v>
      </c>
      <c r="BH57" s="4"/>
      <c r="BI57" s="4"/>
      <c r="BJ57" s="4"/>
      <c r="BK57" s="4">
        <v>42309.99</v>
      </c>
      <c r="BL57" s="4"/>
      <c r="BM57" s="4"/>
      <c r="BN57" s="4">
        <v>-17.760000000000002</v>
      </c>
      <c r="BO57" s="4"/>
      <c r="BP57" s="4">
        <v>-17.760000000000002</v>
      </c>
      <c r="BQ57" s="4">
        <v>-17.760000000000002</v>
      </c>
      <c r="BR57" s="4"/>
      <c r="BS57" s="4"/>
      <c r="BT57" s="4"/>
      <c r="BU57" s="4"/>
      <c r="BV57" s="4"/>
      <c r="BW57" s="4"/>
      <c r="BX57" s="4"/>
      <c r="BY57" s="4"/>
      <c r="BZ57" s="4"/>
      <c r="CA57" s="4"/>
      <c r="CB57" s="4"/>
      <c r="CC57" s="4">
        <v>1528895.0499999998</v>
      </c>
      <c r="CD57" s="1"/>
      <c r="CE57" s="1"/>
    </row>
    <row r="58" spans="4:83">
      <c r="D58" s="2">
        <v>41911</v>
      </c>
      <c r="E58" s="11">
        <f t="shared" si="7"/>
        <v>1486953.23</v>
      </c>
      <c r="F58" s="4">
        <f t="shared" si="8"/>
        <v>1094821.28</v>
      </c>
      <c r="G58" s="4">
        <f t="shared" si="18"/>
        <v>0.73628494690448332</v>
      </c>
      <c r="H58" s="4">
        <f t="shared" si="1"/>
        <v>0</v>
      </c>
      <c r="I58" s="4">
        <f t="shared" si="2"/>
        <v>0</v>
      </c>
      <c r="J58" s="4">
        <f t="shared" si="9"/>
        <v>0</v>
      </c>
      <c r="K58" s="4">
        <f t="shared" si="10"/>
        <v>0</v>
      </c>
      <c r="L58" s="4">
        <f t="shared" si="11"/>
        <v>0</v>
      </c>
      <c r="M58" s="4">
        <f t="shared" si="19"/>
        <v>0</v>
      </c>
      <c r="N58" s="4">
        <f t="shared" si="12"/>
        <v>1.94</v>
      </c>
      <c r="O58" s="4">
        <f t="shared" si="20"/>
        <v>1.3046812508016813E-6</v>
      </c>
      <c r="P58" s="4">
        <f t="shared" si="13"/>
        <v>1094823.22</v>
      </c>
      <c r="Q58" s="4">
        <f t="shared" si="21"/>
        <v>0.73628625158573413</v>
      </c>
      <c r="R58" s="4">
        <v>54</v>
      </c>
      <c r="S58" s="4">
        <f t="shared" si="22"/>
        <v>1103022.7684468734</v>
      </c>
      <c r="T58" s="4">
        <f t="shared" si="23"/>
        <v>0.74180058000000004</v>
      </c>
      <c r="U58" s="11">
        <f t="shared" si="6"/>
        <v>392130.01</v>
      </c>
      <c r="V58" s="11">
        <f t="shared" si="16"/>
        <v>0.26371374841426587</v>
      </c>
      <c r="W58" s="11">
        <f t="shared" si="17"/>
        <v>0.25819941999999996</v>
      </c>
      <c r="Y58" s="3">
        <v>41911</v>
      </c>
      <c r="Z58" s="4"/>
      <c r="AA58" s="4">
        <v>56442.84</v>
      </c>
      <c r="AB58" s="4"/>
      <c r="AC58" s="4">
        <v>56442.84</v>
      </c>
      <c r="AD58" s="4"/>
      <c r="AE58" s="4"/>
      <c r="AF58" s="4">
        <v>56442.84</v>
      </c>
      <c r="AG58" s="4"/>
      <c r="AH58" s="4">
        <v>438756.34</v>
      </c>
      <c r="AI58" s="4"/>
      <c r="AJ58" s="4">
        <v>438756.34</v>
      </c>
      <c r="AK58" s="4"/>
      <c r="AL58" s="4">
        <v>378183.08</v>
      </c>
      <c r="AM58" s="4"/>
      <c r="AN58" s="4">
        <v>378183.08</v>
      </c>
      <c r="AO58" s="4"/>
      <c r="AP58" s="4">
        <v>183197.61</v>
      </c>
      <c r="AQ58" s="4"/>
      <c r="AR58" s="4">
        <v>183197.61</v>
      </c>
      <c r="AS58" s="4"/>
      <c r="AT58" s="4"/>
      <c r="AU58" s="4"/>
      <c r="AV58" s="4"/>
      <c r="AW58" s="4">
        <v>94684.25</v>
      </c>
      <c r="AX58" s="4"/>
      <c r="AY58" s="4">
        <v>94684.25</v>
      </c>
      <c r="AZ58" s="4"/>
      <c r="BA58" s="4"/>
      <c r="BB58" s="4"/>
      <c r="BC58" s="4">
        <v>1094821.28</v>
      </c>
      <c r="BD58" s="4"/>
      <c r="BE58" s="4">
        <v>41997.11</v>
      </c>
      <c r="BF58" s="4"/>
      <c r="BG58" s="4">
        <v>41997.11</v>
      </c>
      <c r="BH58" s="4"/>
      <c r="BI58" s="4"/>
      <c r="BJ58" s="4"/>
      <c r="BK58" s="4">
        <v>41997.11</v>
      </c>
      <c r="BL58" s="4"/>
      <c r="BM58" s="4"/>
      <c r="BN58" s="4">
        <v>1.94</v>
      </c>
      <c r="BO58" s="4"/>
      <c r="BP58" s="4">
        <v>1.94</v>
      </c>
      <c r="BQ58" s="4">
        <v>1.94</v>
      </c>
      <c r="BR58" s="4"/>
      <c r="BS58" s="4"/>
      <c r="BT58" s="4"/>
      <c r="BU58" s="4"/>
      <c r="BV58" s="4"/>
      <c r="BW58" s="4"/>
      <c r="BX58" s="4"/>
      <c r="BY58" s="4"/>
      <c r="BZ58" s="4"/>
      <c r="CA58" s="4"/>
      <c r="CB58" s="4"/>
      <c r="CC58" s="4">
        <v>1486953.23</v>
      </c>
      <c r="CD58" s="1"/>
      <c r="CE58" s="1"/>
    </row>
    <row r="59" spans="4:83">
      <c r="D59" s="2">
        <v>41918</v>
      </c>
      <c r="E59" s="11">
        <f t="shared" si="7"/>
        <v>1503717.08</v>
      </c>
      <c r="F59" s="4">
        <f t="shared" si="8"/>
        <v>1102415.49</v>
      </c>
      <c r="G59" s="4">
        <f t="shared" si="18"/>
        <v>0.73312693236150506</v>
      </c>
      <c r="H59" s="4">
        <f t="shared" si="1"/>
        <v>0</v>
      </c>
      <c r="I59" s="4">
        <f t="shared" si="2"/>
        <v>0</v>
      </c>
      <c r="J59" s="4">
        <f t="shared" si="9"/>
        <v>0</v>
      </c>
      <c r="K59" s="4">
        <f t="shared" si="10"/>
        <v>0</v>
      </c>
      <c r="L59" s="4">
        <f t="shared" si="11"/>
        <v>0</v>
      </c>
      <c r="M59" s="4">
        <f t="shared" si="19"/>
        <v>0</v>
      </c>
      <c r="N59" s="4">
        <f t="shared" si="12"/>
        <v>-0.96</v>
      </c>
      <c r="O59" s="4">
        <f t="shared" si="20"/>
        <v>-6.3841796623072198E-7</v>
      </c>
      <c r="P59" s="4">
        <f t="shared" si="13"/>
        <v>1102414.53</v>
      </c>
      <c r="Q59" s="4">
        <f t="shared" si="21"/>
        <v>0.7331262939435389</v>
      </c>
      <c r="R59" s="4">
        <v>55</v>
      </c>
      <c r="S59" s="4">
        <f t="shared" si="22"/>
        <v>1115968.368193638</v>
      </c>
      <c r="T59" s="4">
        <f t="shared" si="23"/>
        <v>0.74213985000000005</v>
      </c>
      <c r="U59" s="11">
        <f t="shared" si="6"/>
        <v>401302.55000000005</v>
      </c>
      <c r="V59" s="11">
        <f t="shared" si="16"/>
        <v>0.2668737060564611</v>
      </c>
      <c r="W59" s="11">
        <f t="shared" si="17"/>
        <v>0.25786014999999995</v>
      </c>
      <c r="Y59" s="3">
        <v>41918</v>
      </c>
      <c r="Z59" s="4"/>
      <c r="AA59" s="4">
        <v>58501.27</v>
      </c>
      <c r="AB59" s="4"/>
      <c r="AC59" s="4">
        <v>58501.27</v>
      </c>
      <c r="AD59" s="4"/>
      <c r="AE59" s="4"/>
      <c r="AF59" s="4">
        <v>58501.27</v>
      </c>
      <c r="AG59" s="4"/>
      <c r="AH59" s="4">
        <v>454922.09</v>
      </c>
      <c r="AI59" s="4"/>
      <c r="AJ59" s="4">
        <v>454922.09</v>
      </c>
      <c r="AK59" s="4"/>
      <c r="AL59" s="4">
        <v>370966.84</v>
      </c>
      <c r="AM59" s="4"/>
      <c r="AN59" s="4">
        <v>370966.84</v>
      </c>
      <c r="AO59" s="4"/>
      <c r="AP59" s="4">
        <v>180625.35</v>
      </c>
      <c r="AQ59" s="4"/>
      <c r="AR59" s="4">
        <v>180625.35</v>
      </c>
      <c r="AS59" s="4"/>
      <c r="AT59" s="4"/>
      <c r="AU59" s="4"/>
      <c r="AV59" s="4"/>
      <c r="AW59" s="4">
        <v>95901.21</v>
      </c>
      <c r="AX59" s="4"/>
      <c r="AY59" s="4">
        <v>95901.21</v>
      </c>
      <c r="AZ59" s="4"/>
      <c r="BA59" s="4"/>
      <c r="BB59" s="4"/>
      <c r="BC59" s="4">
        <v>1102415.49</v>
      </c>
      <c r="BD59" s="4"/>
      <c r="BE59" s="4">
        <v>43255.61</v>
      </c>
      <c r="BF59" s="4"/>
      <c r="BG59" s="4">
        <v>43255.61</v>
      </c>
      <c r="BH59" s="4"/>
      <c r="BI59" s="4"/>
      <c r="BJ59" s="4"/>
      <c r="BK59" s="4">
        <v>43255.61</v>
      </c>
      <c r="BL59" s="4"/>
      <c r="BM59" s="4"/>
      <c r="BN59" s="4">
        <v>-0.96</v>
      </c>
      <c r="BO59" s="4"/>
      <c r="BP59" s="4">
        <v>-0.96</v>
      </c>
      <c r="BQ59" s="4">
        <v>-0.96</v>
      </c>
      <c r="BR59" s="4"/>
      <c r="BS59" s="4"/>
      <c r="BT59" s="4"/>
      <c r="BU59" s="4"/>
      <c r="BV59" s="4"/>
      <c r="BW59" s="4"/>
      <c r="BX59" s="4"/>
      <c r="BY59" s="4"/>
      <c r="BZ59" s="4"/>
      <c r="CA59" s="4"/>
      <c r="CB59" s="4"/>
      <c r="CC59" s="4">
        <v>1503717.08</v>
      </c>
      <c r="CD59" s="1"/>
      <c r="CE59" s="1"/>
    </row>
    <row r="60" spans="4:83">
      <c r="D60" s="2">
        <v>41925</v>
      </c>
      <c r="E60" s="11">
        <f t="shared" si="7"/>
        <v>1490761.8700000003</v>
      </c>
      <c r="F60" s="4">
        <f t="shared" si="8"/>
        <v>1093575.6200000001</v>
      </c>
      <c r="G60" s="4">
        <f t="shared" si="18"/>
        <v>0.73356827941943525</v>
      </c>
      <c r="H60" s="4">
        <f t="shared" si="1"/>
        <v>0</v>
      </c>
      <c r="I60" s="4">
        <f t="shared" si="2"/>
        <v>0</v>
      </c>
      <c r="J60" s="4">
        <f t="shared" si="9"/>
        <v>0</v>
      </c>
      <c r="K60" s="4">
        <f t="shared" si="10"/>
        <v>0</v>
      </c>
      <c r="L60" s="4">
        <f t="shared" si="11"/>
        <v>0</v>
      </c>
      <c r="M60" s="4">
        <f t="shared" si="19"/>
        <v>0</v>
      </c>
      <c r="N60" s="4">
        <f t="shared" si="12"/>
        <v>-1.78</v>
      </c>
      <c r="O60" s="4">
        <f t="shared" si="20"/>
        <v>-1.194020343436876E-6</v>
      </c>
      <c r="P60" s="4">
        <f t="shared" si="13"/>
        <v>1093573.8400000001</v>
      </c>
      <c r="Q60" s="4">
        <f t="shared" si="21"/>
        <v>0.73356708539909188</v>
      </c>
      <c r="R60" s="4">
        <v>56</v>
      </c>
      <c r="S60" s="4">
        <f t="shared" si="22"/>
        <v>1106859.5613671548</v>
      </c>
      <c r="T60" s="4">
        <f t="shared" si="23"/>
        <v>0.74247912000000005</v>
      </c>
      <c r="U60" s="11">
        <f t="shared" si="6"/>
        <v>397188.03000000026</v>
      </c>
      <c r="V60" s="11">
        <f t="shared" si="16"/>
        <v>0.26643291460090818</v>
      </c>
      <c r="W60" s="11">
        <f t="shared" si="17"/>
        <v>0.25752087999999995</v>
      </c>
      <c r="Y60" s="3">
        <v>41925</v>
      </c>
      <c r="Z60" s="4"/>
      <c r="AA60" s="4">
        <v>57647.09</v>
      </c>
      <c r="AB60" s="4"/>
      <c r="AC60" s="4">
        <v>57647.09</v>
      </c>
      <c r="AD60" s="4"/>
      <c r="AE60" s="4"/>
      <c r="AF60" s="4">
        <v>57647.09</v>
      </c>
      <c r="AG60" s="4"/>
      <c r="AH60" s="4">
        <v>456496.83</v>
      </c>
      <c r="AI60" s="4"/>
      <c r="AJ60" s="4">
        <v>456496.83</v>
      </c>
      <c r="AK60" s="4"/>
      <c r="AL60" s="4">
        <v>356764.95</v>
      </c>
      <c r="AM60" s="4"/>
      <c r="AN60" s="4">
        <v>356764.95</v>
      </c>
      <c r="AO60" s="4"/>
      <c r="AP60" s="4">
        <v>183048.15</v>
      </c>
      <c r="AQ60" s="4"/>
      <c r="AR60" s="4">
        <v>183048.15</v>
      </c>
      <c r="AS60" s="4"/>
      <c r="AT60" s="4"/>
      <c r="AU60" s="4"/>
      <c r="AV60" s="4"/>
      <c r="AW60" s="4">
        <v>97265.69</v>
      </c>
      <c r="AX60" s="4"/>
      <c r="AY60" s="4">
        <v>97265.69</v>
      </c>
      <c r="AZ60" s="4"/>
      <c r="BA60" s="4"/>
      <c r="BB60" s="4"/>
      <c r="BC60" s="4">
        <v>1093575.6200000001</v>
      </c>
      <c r="BD60" s="4"/>
      <c r="BE60" s="4">
        <v>42792.11</v>
      </c>
      <c r="BF60" s="4"/>
      <c r="BG60" s="4">
        <v>42792.11</v>
      </c>
      <c r="BH60" s="4"/>
      <c r="BI60" s="4"/>
      <c r="BJ60" s="4"/>
      <c r="BK60" s="4">
        <v>42792.11</v>
      </c>
      <c r="BL60" s="4"/>
      <c r="BM60" s="4"/>
      <c r="BN60" s="4">
        <v>-1.78</v>
      </c>
      <c r="BO60" s="4"/>
      <c r="BP60" s="4">
        <v>-1.78</v>
      </c>
      <c r="BQ60" s="4">
        <v>-1.78</v>
      </c>
      <c r="BR60" s="4"/>
      <c r="BS60" s="4"/>
      <c r="BT60" s="4"/>
      <c r="BU60" s="4"/>
      <c r="BV60" s="4"/>
      <c r="BW60" s="4"/>
      <c r="BX60" s="4"/>
      <c r="BY60" s="4"/>
      <c r="BZ60" s="4"/>
      <c r="CA60" s="4"/>
      <c r="CB60" s="4"/>
      <c r="CC60" s="4">
        <v>1490761.8700000003</v>
      </c>
      <c r="CD60" s="1"/>
      <c r="CE60" s="1"/>
    </row>
    <row r="61" spans="4:83">
      <c r="D61" s="2">
        <v>41932</v>
      </c>
      <c r="E61" s="11">
        <f t="shared" si="7"/>
        <v>1503904.6199999999</v>
      </c>
      <c r="F61" s="4">
        <f t="shared" si="8"/>
        <v>1103857.03</v>
      </c>
      <c r="G61" s="4">
        <f t="shared" si="18"/>
        <v>0.73399404145723024</v>
      </c>
      <c r="H61" s="4">
        <f t="shared" si="1"/>
        <v>0</v>
      </c>
      <c r="I61" s="4">
        <f t="shared" si="2"/>
        <v>0</v>
      </c>
      <c r="J61" s="4">
        <f t="shared" si="9"/>
        <v>0</v>
      </c>
      <c r="K61" s="4">
        <f t="shared" si="10"/>
        <v>0</v>
      </c>
      <c r="L61" s="4">
        <f t="shared" si="11"/>
        <v>0</v>
      </c>
      <c r="M61" s="4">
        <f t="shared" si="19"/>
        <v>0</v>
      </c>
      <c r="N61" s="4">
        <f t="shared" si="12"/>
        <v>-0.18</v>
      </c>
      <c r="O61" s="4">
        <f t="shared" si="20"/>
        <v>-1.1968844141192945E-7</v>
      </c>
      <c r="P61" s="4">
        <f t="shared" si="13"/>
        <v>1103856.8500000001</v>
      </c>
      <c r="Q61" s="4">
        <f t="shared" si="21"/>
        <v>0.73399392176878886</v>
      </c>
      <c r="R61" s="4">
        <v>57</v>
      </c>
      <c r="S61" s="4">
        <f t="shared" si="22"/>
        <v>1117128.0085419619</v>
      </c>
      <c r="T61" s="4">
        <f t="shared" si="23"/>
        <v>0.74281839000000005</v>
      </c>
      <c r="U61" s="11">
        <f t="shared" si="6"/>
        <v>400047.76999999979</v>
      </c>
      <c r="V61" s="11">
        <f t="shared" si="16"/>
        <v>0.26600607823121108</v>
      </c>
      <c r="W61" s="11">
        <f t="shared" si="17"/>
        <v>0.25718160999999995</v>
      </c>
      <c r="Y61" s="3">
        <v>41932</v>
      </c>
      <c r="Z61" s="4"/>
      <c r="AA61" s="4">
        <v>57762</v>
      </c>
      <c r="AB61" s="4"/>
      <c r="AC61" s="4">
        <v>57762</v>
      </c>
      <c r="AD61" s="4"/>
      <c r="AE61" s="4"/>
      <c r="AF61" s="4">
        <v>57762</v>
      </c>
      <c r="AG61" s="4"/>
      <c r="AH61" s="4">
        <v>452950.07</v>
      </c>
      <c r="AI61" s="4"/>
      <c r="AJ61" s="4">
        <v>452950.07</v>
      </c>
      <c r="AK61" s="4"/>
      <c r="AL61" s="4">
        <v>362884.68</v>
      </c>
      <c r="AM61" s="4"/>
      <c r="AN61" s="4">
        <v>362884.68</v>
      </c>
      <c r="AO61" s="4"/>
      <c r="AP61" s="4">
        <v>193035.82</v>
      </c>
      <c r="AQ61" s="4"/>
      <c r="AR61" s="4">
        <v>193035.82</v>
      </c>
      <c r="AS61" s="4"/>
      <c r="AT61" s="4"/>
      <c r="AU61" s="4"/>
      <c r="AV61" s="4"/>
      <c r="AW61" s="4">
        <v>94986.46</v>
      </c>
      <c r="AX61" s="4"/>
      <c r="AY61" s="4">
        <v>94986.46</v>
      </c>
      <c r="AZ61" s="4"/>
      <c r="BA61" s="4"/>
      <c r="BB61" s="4"/>
      <c r="BC61" s="4">
        <v>1103857.03</v>
      </c>
      <c r="BD61" s="4"/>
      <c r="BE61" s="4">
        <v>42432.24</v>
      </c>
      <c r="BF61" s="4"/>
      <c r="BG61" s="4">
        <v>42432.24</v>
      </c>
      <c r="BH61" s="4"/>
      <c r="BI61" s="4"/>
      <c r="BJ61" s="4"/>
      <c r="BK61" s="4">
        <v>42432.24</v>
      </c>
      <c r="BL61" s="4"/>
      <c r="BM61" s="4"/>
      <c r="BN61" s="4">
        <v>-0.18</v>
      </c>
      <c r="BO61" s="4"/>
      <c r="BP61" s="4">
        <v>-0.18</v>
      </c>
      <c r="BQ61" s="4">
        <v>-0.18</v>
      </c>
      <c r="BR61" s="4"/>
      <c r="BS61" s="4"/>
      <c r="BT61" s="4"/>
      <c r="BU61" s="4"/>
      <c r="BV61" s="4"/>
      <c r="BW61" s="4"/>
      <c r="BX61" s="4"/>
      <c r="BY61" s="4"/>
      <c r="BZ61" s="4"/>
      <c r="CA61" s="4"/>
      <c r="CB61" s="4"/>
      <c r="CC61" s="4">
        <v>1503904.6199999999</v>
      </c>
      <c r="CD61" s="1"/>
      <c r="CE61" s="1"/>
    </row>
    <row r="62" spans="4:83">
      <c r="D62" s="2">
        <v>41939</v>
      </c>
      <c r="E62" s="11">
        <f t="shared" si="7"/>
        <v>1519185.9599999997</v>
      </c>
      <c r="F62" s="4">
        <f t="shared" si="8"/>
        <v>1119127.25</v>
      </c>
      <c r="G62" s="4">
        <f t="shared" si="18"/>
        <v>0.73666244914480394</v>
      </c>
      <c r="H62" s="4">
        <f t="shared" si="1"/>
        <v>0</v>
      </c>
      <c r="I62" s="4">
        <f t="shared" si="2"/>
        <v>0</v>
      </c>
      <c r="J62" s="4">
        <f t="shared" si="9"/>
        <v>0</v>
      </c>
      <c r="K62" s="4">
        <f t="shared" si="10"/>
        <v>0</v>
      </c>
      <c r="L62" s="4">
        <f t="shared" si="11"/>
        <v>0</v>
      </c>
      <c r="M62" s="4">
        <f t="shared" si="19"/>
        <v>0</v>
      </c>
      <c r="N62" s="4">
        <f t="shared" si="12"/>
        <v>-0.42</v>
      </c>
      <c r="O62" s="4">
        <f t="shared" si="20"/>
        <v>-2.7646385041631115E-7</v>
      </c>
      <c r="P62" s="4">
        <f t="shared" si="13"/>
        <v>1119126.83</v>
      </c>
      <c r="Q62" s="4">
        <f t="shared" si="21"/>
        <v>0.73666217268095358</v>
      </c>
      <c r="R62" s="4">
        <v>58</v>
      </c>
      <c r="S62" s="4">
        <f t="shared" si="22"/>
        <v>1128994.6831384534</v>
      </c>
      <c r="T62" s="4">
        <f t="shared" si="23"/>
        <v>0.74315766000000005</v>
      </c>
      <c r="U62" s="11">
        <f t="shared" si="6"/>
        <v>400059.12999999966</v>
      </c>
      <c r="V62" s="11">
        <f t="shared" si="16"/>
        <v>0.26333782731904637</v>
      </c>
      <c r="W62" s="11">
        <f t="shared" si="17"/>
        <v>0.25684233999999995</v>
      </c>
      <c r="Y62" s="3">
        <v>41939</v>
      </c>
      <c r="Z62" s="4"/>
      <c r="AA62" s="4">
        <v>56504.32</v>
      </c>
      <c r="AB62" s="4"/>
      <c r="AC62" s="4">
        <v>56504.32</v>
      </c>
      <c r="AD62" s="4"/>
      <c r="AE62" s="4"/>
      <c r="AF62" s="4">
        <v>56504.32</v>
      </c>
      <c r="AG62" s="4"/>
      <c r="AH62" s="4">
        <v>465205.44</v>
      </c>
      <c r="AI62" s="4"/>
      <c r="AJ62" s="4">
        <v>465205.44</v>
      </c>
      <c r="AK62" s="4"/>
      <c r="AL62" s="4">
        <v>348981.49</v>
      </c>
      <c r="AM62" s="4"/>
      <c r="AN62" s="4">
        <v>348981.49</v>
      </c>
      <c r="AO62" s="4"/>
      <c r="AP62" s="4">
        <v>210909.58</v>
      </c>
      <c r="AQ62" s="4"/>
      <c r="AR62" s="4">
        <v>210909.58</v>
      </c>
      <c r="AS62" s="4"/>
      <c r="AT62" s="4"/>
      <c r="AU62" s="4"/>
      <c r="AV62" s="4"/>
      <c r="AW62" s="4">
        <v>94030.74</v>
      </c>
      <c r="AX62" s="4"/>
      <c r="AY62" s="4">
        <v>94030.74</v>
      </c>
      <c r="AZ62" s="4"/>
      <c r="BA62" s="4"/>
      <c r="BB62" s="4"/>
      <c r="BC62" s="4">
        <v>1119127.25</v>
      </c>
      <c r="BD62" s="4"/>
      <c r="BE62" s="4">
        <v>42652.92</v>
      </c>
      <c r="BF62" s="4"/>
      <c r="BG62" s="4">
        <v>42652.92</v>
      </c>
      <c r="BH62" s="4"/>
      <c r="BI62" s="4"/>
      <c r="BJ62" s="4"/>
      <c r="BK62" s="4">
        <v>42652.92</v>
      </c>
      <c r="BL62" s="4"/>
      <c r="BM62" s="4"/>
      <c r="BN62" s="4">
        <v>-0.42</v>
      </c>
      <c r="BO62" s="4"/>
      <c r="BP62" s="4">
        <v>-0.42</v>
      </c>
      <c r="BQ62" s="4">
        <v>-0.42</v>
      </c>
      <c r="BR62" s="4"/>
      <c r="BS62" s="4"/>
      <c r="BT62" s="4"/>
      <c r="BU62" s="4"/>
      <c r="BV62" s="4"/>
      <c r="BW62" s="4"/>
      <c r="BX62" s="4"/>
      <c r="BY62" s="4"/>
      <c r="BZ62" s="4"/>
      <c r="CA62" s="4"/>
      <c r="CB62" s="4"/>
      <c r="CC62" s="4">
        <v>1519185.9599999997</v>
      </c>
      <c r="CD62" s="1"/>
      <c r="CE62" s="1"/>
    </row>
    <row r="63" spans="4:83">
      <c r="D63" s="2">
        <v>41946</v>
      </c>
      <c r="E63" s="11">
        <f t="shared" si="7"/>
        <v>1449524.9800000002</v>
      </c>
      <c r="F63" s="4">
        <f t="shared" si="8"/>
        <v>1069154.67</v>
      </c>
      <c r="G63" s="4">
        <f t="shared" si="18"/>
        <v>0.73758968265589997</v>
      </c>
      <c r="H63" s="4">
        <f t="shared" si="1"/>
        <v>0</v>
      </c>
      <c r="I63" s="4">
        <f t="shared" si="2"/>
        <v>0</v>
      </c>
      <c r="J63" s="4">
        <f t="shared" si="9"/>
        <v>0</v>
      </c>
      <c r="K63" s="4">
        <f t="shared" si="10"/>
        <v>0</v>
      </c>
      <c r="L63" s="4">
        <f t="shared" si="11"/>
        <v>0</v>
      </c>
      <c r="M63" s="4">
        <f t="shared" si="19"/>
        <v>0</v>
      </c>
      <c r="N63" s="4">
        <f t="shared" si="12"/>
        <v>-3.02</v>
      </c>
      <c r="O63" s="4">
        <f t="shared" si="20"/>
        <v>-2.0834411560123646E-6</v>
      </c>
      <c r="P63" s="4">
        <f t="shared" si="13"/>
        <v>1069151.6499999999</v>
      </c>
      <c r="Q63" s="4">
        <f t="shared" si="21"/>
        <v>0.73758759921474393</v>
      </c>
      <c r="R63" s="4">
        <v>59</v>
      </c>
      <c r="S63" s="4">
        <f t="shared" si="22"/>
        <v>1077717.3725883116</v>
      </c>
      <c r="T63" s="4">
        <f t="shared" si="23"/>
        <v>0.74349693000000006</v>
      </c>
      <c r="U63" s="11">
        <f t="shared" si="6"/>
        <v>380373.33000000031</v>
      </c>
      <c r="V63" s="11">
        <f t="shared" si="16"/>
        <v>0.26241240078525602</v>
      </c>
      <c r="W63" s="11">
        <f t="shared" si="17"/>
        <v>0.25650306999999994</v>
      </c>
      <c r="Y63" s="3">
        <v>41946</v>
      </c>
      <c r="Z63" s="4"/>
      <c r="AA63" s="4">
        <v>54357.11</v>
      </c>
      <c r="AB63" s="4"/>
      <c r="AC63" s="4">
        <v>54357.11</v>
      </c>
      <c r="AD63" s="4"/>
      <c r="AE63" s="4"/>
      <c r="AF63" s="4">
        <v>54357.11</v>
      </c>
      <c r="AG63" s="4"/>
      <c r="AH63" s="4">
        <v>449683.48</v>
      </c>
      <c r="AI63" s="4"/>
      <c r="AJ63" s="4">
        <v>449683.48</v>
      </c>
      <c r="AK63" s="4"/>
      <c r="AL63" s="4">
        <v>364239.6</v>
      </c>
      <c r="AM63" s="4"/>
      <c r="AN63" s="4">
        <v>364239.6</v>
      </c>
      <c r="AO63" s="4"/>
      <c r="AP63" s="4">
        <v>160873.82</v>
      </c>
      <c r="AQ63" s="4"/>
      <c r="AR63" s="4">
        <v>160873.82</v>
      </c>
      <c r="AS63" s="4"/>
      <c r="AT63" s="4"/>
      <c r="AU63" s="4"/>
      <c r="AV63" s="4"/>
      <c r="AW63" s="4">
        <v>94357.77</v>
      </c>
      <c r="AX63" s="4"/>
      <c r="AY63" s="4">
        <v>94357.77</v>
      </c>
      <c r="AZ63" s="4"/>
      <c r="BA63" s="4"/>
      <c r="BB63" s="4"/>
      <c r="BC63" s="4">
        <v>1069154.67</v>
      </c>
      <c r="BD63" s="4"/>
      <c r="BE63" s="4">
        <v>39942.81</v>
      </c>
      <c r="BF63" s="4"/>
      <c r="BG63" s="4">
        <v>39942.81</v>
      </c>
      <c r="BH63" s="4"/>
      <c r="BI63" s="4"/>
      <c r="BJ63" s="4"/>
      <c r="BK63" s="4">
        <v>39942.81</v>
      </c>
      <c r="BL63" s="4"/>
      <c r="BM63" s="4"/>
      <c r="BN63" s="4">
        <v>-3.02</v>
      </c>
      <c r="BO63" s="4"/>
      <c r="BP63" s="4">
        <v>-3.02</v>
      </c>
      <c r="BQ63" s="4">
        <v>-3.02</v>
      </c>
      <c r="BR63" s="4"/>
      <c r="BS63" s="4"/>
      <c r="BT63" s="4"/>
      <c r="BU63" s="4"/>
      <c r="BV63" s="4"/>
      <c r="BW63" s="4"/>
      <c r="BX63" s="4"/>
      <c r="BY63" s="4"/>
      <c r="BZ63" s="4"/>
      <c r="CA63" s="4"/>
      <c r="CB63" s="4"/>
      <c r="CC63" s="4">
        <v>1449524.9800000002</v>
      </c>
      <c r="CD63" s="1"/>
      <c r="CE63" s="1"/>
    </row>
    <row r="64" spans="4:83">
      <c r="D64" s="2">
        <v>41953</v>
      </c>
      <c r="E64" s="11">
        <f t="shared" si="7"/>
        <v>1452988.6</v>
      </c>
      <c r="F64" s="4">
        <f t="shared" si="8"/>
        <v>1075142.02</v>
      </c>
      <c r="G64" s="4">
        <f t="shared" si="18"/>
        <v>0.73995213727072595</v>
      </c>
      <c r="H64" s="4">
        <f t="shared" si="1"/>
        <v>0</v>
      </c>
      <c r="I64" s="4">
        <f t="shared" si="2"/>
        <v>0</v>
      </c>
      <c r="J64" s="4">
        <f t="shared" si="9"/>
        <v>0</v>
      </c>
      <c r="K64" s="4">
        <f t="shared" si="10"/>
        <v>0</v>
      </c>
      <c r="L64" s="4">
        <f t="shared" si="11"/>
        <v>0</v>
      </c>
      <c r="M64" s="4">
        <f t="shared" si="19"/>
        <v>0</v>
      </c>
      <c r="N64" s="4">
        <f t="shared" si="12"/>
        <v>2.78</v>
      </c>
      <c r="O64" s="4">
        <f t="shared" si="20"/>
        <v>1.9132978744637087E-6</v>
      </c>
      <c r="P64" s="4">
        <f t="shared" si="13"/>
        <v>1075144.8</v>
      </c>
      <c r="Q64" s="4">
        <f t="shared" si="21"/>
        <v>0.73995405056860042</v>
      </c>
      <c r="R64" s="4">
        <v>60</v>
      </c>
      <c r="S64" s="4">
        <f t="shared" si="22"/>
        <v>1080785.5188673201</v>
      </c>
      <c r="T64" s="4">
        <f t="shared" si="23"/>
        <v>0.74383620000000006</v>
      </c>
      <c r="U64" s="11">
        <f t="shared" si="6"/>
        <v>377843.80000000005</v>
      </c>
      <c r="V64" s="11">
        <f t="shared" si="16"/>
        <v>0.26004594943139953</v>
      </c>
      <c r="W64" s="11">
        <f t="shared" si="17"/>
        <v>0.25616379999999994</v>
      </c>
      <c r="Y64" s="3">
        <v>41953</v>
      </c>
      <c r="Z64" s="4"/>
      <c r="AA64" s="4">
        <v>56820.1</v>
      </c>
      <c r="AB64" s="4"/>
      <c r="AC64" s="4">
        <v>56820.1</v>
      </c>
      <c r="AD64" s="4"/>
      <c r="AE64" s="4"/>
      <c r="AF64" s="4">
        <v>56820.1</v>
      </c>
      <c r="AG64" s="4"/>
      <c r="AH64" s="4">
        <v>463278.58</v>
      </c>
      <c r="AI64" s="4"/>
      <c r="AJ64" s="4">
        <v>463278.58</v>
      </c>
      <c r="AK64" s="4"/>
      <c r="AL64" s="4">
        <v>351590.15</v>
      </c>
      <c r="AM64" s="4"/>
      <c r="AN64" s="4">
        <v>351590.15</v>
      </c>
      <c r="AO64" s="4"/>
      <c r="AP64" s="4">
        <v>165231.84</v>
      </c>
      <c r="AQ64" s="4"/>
      <c r="AR64" s="4">
        <v>165231.84</v>
      </c>
      <c r="AS64" s="4"/>
      <c r="AT64" s="4"/>
      <c r="AU64" s="4"/>
      <c r="AV64" s="4"/>
      <c r="AW64" s="4">
        <v>95041.45</v>
      </c>
      <c r="AX64" s="4"/>
      <c r="AY64" s="4">
        <v>95041.45</v>
      </c>
      <c r="AZ64" s="4"/>
      <c r="BA64" s="4"/>
      <c r="BB64" s="4"/>
      <c r="BC64" s="4">
        <v>1075142.02</v>
      </c>
      <c r="BD64" s="4"/>
      <c r="BE64" s="4">
        <v>41062.629999999997</v>
      </c>
      <c r="BF64" s="4"/>
      <c r="BG64" s="4">
        <v>41062.629999999997</v>
      </c>
      <c r="BH64" s="4"/>
      <c r="BI64" s="4"/>
      <c r="BJ64" s="4"/>
      <c r="BK64" s="4">
        <v>41062.629999999997</v>
      </c>
      <c r="BL64" s="4"/>
      <c r="BM64" s="4"/>
      <c r="BN64" s="4">
        <v>2.78</v>
      </c>
      <c r="BO64" s="4"/>
      <c r="BP64" s="4">
        <v>2.78</v>
      </c>
      <c r="BQ64" s="4">
        <v>2.78</v>
      </c>
      <c r="BR64" s="4"/>
      <c r="BS64" s="4"/>
      <c r="BT64" s="4"/>
      <c r="BU64" s="4"/>
      <c r="BV64" s="4"/>
      <c r="BW64" s="4"/>
      <c r="BX64" s="4"/>
      <c r="BY64" s="4"/>
      <c r="BZ64" s="4"/>
      <c r="CA64" s="4"/>
      <c r="CB64" s="4"/>
      <c r="CC64" s="4">
        <v>1452988.6</v>
      </c>
      <c r="CD64" s="1"/>
      <c r="CE64" s="1"/>
    </row>
    <row r="65" spans="4:83">
      <c r="D65" s="2">
        <v>41960</v>
      </c>
      <c r="E65" s="11">
        <f t="shared" si="7"/>
        <v>1581001.2199999997</v>
      </c>
      <c r="F65" s="4">
        <f t="shared" si="8"/>
        <v>1167713.53</v>
      </c>
      <c r="G65" s="4">
        <f t="shared" si="18"/>
        <v>0.73859116313648399</v>
      </c>
      <c r="H65" s="4">
        <f t="shared" si="1"/>
        <v>0</v>
      </c>
      <c r="I65" s="4">
        <f t="shared" si="2"/>
        <v>0</v>
      </c>
      <c r="J65" s="4">
        <f t="shared" si="9"/>
        <v>0</v>
      </c>
      <c r="K65" s="4">
        <f t="shared" si="10"/>
        <v>-1.18</v>
      </c>
      <c r="L65" s="4">
        <f t="shared" si="11"/>
        <v>-1.18</v>
      </c>
      <c r="M65" s="4">
        <f t="shared" si="19"/>
        <v>-7.4636248541288296E-7</v>
      </c>
      <c r="N65" s="4">
        <f t="shared" si="12"/>
        <v>-0.12</v>
      </c>
      <c r="O65" s="4">
        <f t="shared" si="20"/>
        <v>-7.5901269703005049E-8</v>
      </c>
      <c r="P65" s="4">
        <f t="shared" si="13"/>
        <v>1167713.4099999999</v>
      </c>
      <c r="Q65" s="4">
        <f t="shared" si="21"/>
        <v>0.73859108723521427</v>
      </c>
      <c r="R65" s="4">
        <v>61</v>
      </c>
      <c r="S65" s="4">
        <f t="shared" si="22"/>
        <v>1176542.3259640734</v>
      </c>
      <c r="T65" s="4">
        <f t="shared" si="23"/>
        <v>0.74417547000000006</v>
      </c>
      <c r="U65" s="11">
        <f t="shared" si="6"/>
        <v>413288.98999999976</v>
      </c>
      <c r="V65" s="11">
        <f t="shared" si="16"/>
        <v>0.26140965912727115</v>
      </c>
      <c r="W65" s="11">
        <f t="shared" si="17"/>
        <v>0.25582452999999994</v>
      </c>
      <c r="Y65" s="3">
        <v>41960</v>
      </c>
      <c r="Z65" s="4"/>
      <c r="AA65" s="4">
        <v>60801.73</v>
      </c>
      <c r="AB65" s="4"/>
      <c r="AC65" s="4">
        <v>60801.73</v>
      </c>
      <c r="AD65" s="4"/>
      <c r="AE65" s="4"/>
      <c r="AF65" s="4">
        <v>60801.73</v>
      </c>
      <c r="AG65" s="4"/>
      <c r="AH65" s="4">
        <v>497354.07</v>
      </c>
      <c r="AI65" s="4"/>
      <c r="AJ65" s="4">
        <v>497354.07</v>
      </c>
      <c r="AK65" s="4"/>
      <c r="AL65" s="4">
        <v>385750.26</v>
      </c>
      <c r="AM65" s="4"/>
      <c r="AN65" s="4">
        <v>385750.26</v>
      </c>
      <c r="AO65" s="4"/>
      <c r="AP65" s="4">
        <v>179957.43</v>
      </c>
      <c r="AQ65" s="4"/>
      <c r="AR65" s="4">
        <v>179957.43</v>
      </c>
      <c r="AS65" s="4"/>
      <c r="AT65" s="4"/>
      <c r="AU65" s="4"/>
      <c r="AV65" s="4"/>
      <c r="AW65" s="4">
        <v>104651.77</v>
      </c>
      <c r="AX65" s="4"/>
      <c r="AY65" s="4">
        <v>104651.77</v>
      </c>
      <c r="AZ65" s="4"/>
      <c r="BA65" s="4"/>
      <c r="BB65" s="4"/>
      <c r="BC65" s="4">
        <v>1167713.53</v>
      </c>
      <c r="BD65" s="4"/>
      <c r="BE65" s="4">
        <v>44927</v>
      </c>
      <c r="BF65" s="4"/>
      <c r="BG65" s="4">
        <v>44927</v>
      </c>
      <c r="BH65" s="4">
        <v>-1.18</v>
      </c>
      <c r="BI65" s="4"/>
      <c r="BJ65" s="4">
        <v>-1.18</v>
      </c>
      <c r="BK65" s="4">
        <v>44925.82</v>
      </c>
      <c r="BL65" s="4"/>
      <c r="BM65" s="4"/>
      <c r="BN65" s="4">
        <v>-0.12</v>
      </c>
      <c r="BO65" s="4"/>
      <c r="BP65" s="4">
        <v>-0.12</v>
      </c>
      <c r="BQ65" s="4">
        <v>-0.12</v>
      </c>
      <c r="BR65" s="4"/>
      <c r="BS65" s="4"/>
      <c r="BT65" s="4"/>
      <c r="BU65" s="4"/>
      <c r="BV65" s="4"/>
      <c r="BW65" s="4"/>
      <c r="BX65" s="4"/>
      <c r="BY65" s="4"/>
      <c r="BZ65" s="4"/>
      <c r="CA65" s="4"/>
      <c r="CB65" s="4"/>
      <c r="CC65" s="4">
        <v>1581001.2199999997</v>
      </c>
      <c r="CD65" s="1"/>
      <c r="CE65" s="1"/>
    </row>
    <row r="66" spans="4:83">
      <c r="D66" s="2">
        <v>41967</v>
      </c>
      <c r="E66" s="11">
        <f t="shared" si="7"/>
        <v>1153610.5500000005</v>
      </c>
      <c r="F66" s="4">
        <f t="shared" si="8"/>
        <v>855881.61</v>
      </c>
      <c r="G66" s="4">
        <f t="shared" si="18"/>
        <v>0.7419155537369172</v>
      </c>
      <c r="H66" s="4">
        <f t="shared" si="1"/>
        <v>0</v>
      </c>
      <c r="I66" s="4">
        <f t="shared" si="2"/>
        <v>0</v>
      </c>
      <c r="J66" s="4">
        <f t="shared" si="9"/>
        <v>0</v>
      </c>
      <c r="K66" s="4">
        <f t="shared" si="10"/>
        <v>0</v>
      </c>
      <c r="L66" s="4">
        <f t="shared" si="11"/>
        <v>0</v>
      </c>
      <c r="M66" s="4">
        <f t="shared" si="19"/>
        <v>0</v>
      </c>
      <c r="N66" s="4">
        <f t="shared" si="12"/>
        <v>1.36</v>
      </c>
      <c r="O66" s="4">
        <f t="shared" si="20"/>
        <v>1.1789073877661742E-6</v>
      </c>
      <c r="P66" s="4">
        <f t="shared" si="13"/>
        <v>855882.97</v>
      </c>
      <c r="Q66" s="4">
        <f t="shared" si="21"/>
        <v>0.74191673264430491</v>
      </c>
      <c r="R66" s="4">
        <v>62</v>
      </c>
      <c r="S66" s="4">
        <f t="shared" si="22"/>
        <v>858880.05869450746</v>
      </c>
      <c r="T66" s="4">
        <f t="shared" si="23"/>
        <v>0.74451474000000006</v>
      </c>
      <c r="U66" s="11">
        <f t="shared" si="6"/>
        <v>297727.58000000054</v>
      </c>
      <c r="V66" s="11">
        <f t="shared" si="16"/>
        <v>0.25808326735569503</v>
      </c>
      <c r="W66" s="11">
        <f t="shared" si="17"/>
        <v>0.25548525999999994</v>
      </c>
      <c r="Y66" s="3">
        <v>41967</v>
      </c>
      <c r="Z66" s="4"/>
      <c r="AA66" s="4">
        <v>42471.53</v>
      </c>
      <c r="AB66" s="4"/>
      <c r="AC66" s="4">
        <v>42471.53</v>
      </c>
      <c r="AD66" s="4"/>
      <c r="AE66" s="4"/>
      <c r="AF66" s="4">
        <v>42471.53</v>
      </c>
      <c r="AG66" s="4"/>
      <c r="AH66" s="4">
        <v>374077.28</v>
      </c>
      <c r="AI66" s="4"/>
      <c r="AJ66" s="4">
        <v>374077.28</v>
      </c>
      <c r="AK66" s="4"/>
      <c r="AL66" s="4">
        <v>275412.23</v>
      </c>
      <c r="AM66" s="4"/>
      <c r="AN66" s="4">
        <v>275412.23</v>
      </c>
      <c r="AO66" s="4"/>
      <c r="AP66" s="4">
        <v>133165.73000000001</v>
      </c>
      <c r="AQ66" s="4"/>
      <c r="AR66" s="4">
        <v>133165.73000000001</v>
      </c>
      <c r="AS66" s="4"/>
      <c r="AT66" s="4"/>
      <c r="AU66" s="4"/>
      <c r="AV66" s="4"/>
      <c r="AW66" s="4">
        <v>73226.37</v>
      </c>
      <c r="AX66" s="4"/>
      <c r="AY66" s="4">
        <v>73226.37</v>
      </c>
      <c r="AZ66" s="4"/>
      <c r="BA66" s="4"/>
      <c r="BB66" s="4"/>
      <c r="BC66" s="4">
        <v>855881.61</v>
      </c>
      <c r="BD66" s="4"/>
      <c r="BE66" s="4">
        <v>31838.93</v>
      </c>
      <c r="BF66" s="4"/>
      <c r="BG66" s="4">
        <v>31838.93</v>
      </c>
      <c r="BH66" s="4"/>
      <c r="BI66" s="4"/>
      <c r="BJ66" s="4"/>
      <c r="BK66" s="4">
        <v>31838.93</v>
      </c>
      <c r="BL66" s="4"/>
      <c r="BM66" s="4"/>
      <c r="BN66" s="4">
        <v>1.36</v>
      </c>
      <c r="BO66" s="4"/>
      <c r="BP66" s="4">
        <v>1.36</v>
      </c>
      <c r="BQ66" s="4">
        <v>1.36</v>
      </c>
      <c r="BR66" s="4"/>
      <c r="BS66" s="4"/>
      <c r="BT66" s="4"/>
      <c r="BU66" s="4"/>
      <c r="BV66" s="4"/>
      <c r="BW66" s="4"/>
      <c r="BX66" s="4"/>
      <c r="BY66" s="4"/>
      <c r="BZ66" s="4"/>
      <c r="CA66" s="4"/>
      <c r="CB66" s="4"/>
      <c r="CC66" s="4">
        <v>1153610.5500000005</v>
      </c>
      <c r="CD66" s="1"/>
      <c r="CE66" s="1"/>
    </row>
    <row r="67" spans="4:83">
      <c r="D67" s="2">
        <v>41974</v>
      </c>
      <c r="E67" s="11">
        <f t="shared" si="7"/>
        <v>1405206.6900000002</v>
      </c>
      <c r="F67" s="4">
        <f t="shared" si="8"/>
        <v>1042995.0199999999</v>
      </c>
      <c r="G67" s="4">
        <f t="shared" si="18"/>
        <v>0.74223601938587391</v>
      </c>
      <c r="H67" s="4">
        <f t="shared" si="1"/>
        <v>0</v>
      </c>
      <c r="I67" s="4">
        <f t="shared" si="2"/>
        <v>0</v>
      </c>
      <c r="J67" s="4">
        <f t="shared" si="9"/>
        <v>0</v>
      </c>
      <c r="K67" s="4">
        <f t="shared" si="10"/>
        <v>0</v>
      </c>
      <c r="L67" s="4">
        <f t="shared" si="11"/>
        <v>0</v>
      </c>
      <c r="M67" s="4">
        <f t="shared" si="19"/>
        <v>0</v>
      </c>
      <c r="N67" s="4">
        <f t="shared" si="12"/>
        <v>0</v>
      </c>
      <c r="O67" s="4">
        <f t="shared" si="20"/>
        <v>0</v>
      </c>
      <c r="P67" s="4">
        <f t="shared" si="13"/>
        <v>1042995.0199999999</v>
      </c>
      <c r="Q67" s="4">
        <f t="shared" si="21"/>
        <v>0.74223601938587391</v>
      </c>
      <c r="R67" s="4">
        <v>63</v>
      </c>
      <c r="S67" s="4">
        <f t="shared" si="22"/>
        <v>1046673.8379253271</v>
      </c>
      <c r="T67" s="4">
        <f t="shared" si="23"/>
        <v>0.74485401000000007</v>
      </c>
      <c r="U67" s="11">
        <f t="shared" si="6"/>
        <v>362211.67000000027</v>
      </c>
      <c r="V67" s="11">
        <f t="shared" si="16"/>
        <v>0.25776398061412603</v>
      </c>
      <c r="W67" s="11">
        <f t="shared" si="17"/>
        <v>0.25514598999999993</v>
      </c>
      <c r="Y67" s="3">
        <v>41974</v>
      </c>
      <c r="Z67" s="4"/>
      <c r="AA67" s="4">
        <v>53099.19</v>
      </c>
      <c r="AB67" s="4"/>
      <c r="AC67" s="4">
        <v>53099.19</v>
      </c>
      <c r="AD67" s="4"/>
      <c r="AE67" s="4"/>
      <c r="AF67" s="4">
        <v>53099.19</v>
      </c>
      <c r="AG67" s="4"/>
      <c r="AH67" s="4">
        <v>447317.13</v>
      </c>
      <c r="AI67" s="4"/>
      <c r="AJ67" s="4">
        <v>447317.13</v>
      </c>
      <c r="AK67" s="4"/>
      <c r="AL67" s="4">
        <v>345619.31</v>
      </c>
      <c r="AM67" s="4"/>
      <c r="AN67" s="4">
        <v>345619.31</v>
      </c>
      <c r="AO67" s="4"/>
      <c r="AP67" s="4">
        <v>159591.87</v>
      </c>
      <c r="AQ67" s="4"/>
      <c r="AR67" s="4">
        <v>159591.87</v>
      </c>
      <c r="AS67" s="4"/>
      <c r="AT67" s="4"/>
      <c r="AU67" s="4"/>
      <c r="AV67" s="4"/>
      <c r="AW67" s="4">
        <v>90466.71</v>
      </c>
      <c r="AX67" s="4"/>
      <c r="AY67" s="4">
        <v>90466.71</v>
      </c>
      <c r="AZ67" s="4"/>
      <c r="BA67" s="4"/>
      <c r="BB67" s="4"/>
      <c r="BC67" s="4">
        <v>1042995.0199999999</v>
      </c>
      <c r="BD67" s="4"/>
      <c r="BE67" s="4">
        <v>39504.629999999997</v>
      </c>
      <c r="BF67" s="4"/>
      <c r="BG67" s="4">
        <v>39504.629999999997</v>
      </c>
      <c r="BH67" s="4"/>
      <c r="BI67" s="4"/>
      <c r="BJ67" s="4"/>
      <c r="BK67" s="4">
        <v>39504.629999999997</v>
      </c>
      <c r="BL67" s="4"/>
      <c r="BM67" s="4"/>
      <c r="BN67" s="4"/>
      <c r="BO67" s="4"/>
      <c r="BP67" s="4"/>
      <c r="BQ67" s="4"/>
      <c r="BR67" s="4"/>
      <c r="BS67" s="4"/>
      <c r="BT67" s="4"/>
      <c r="BU67" s="4"/>
      <c r="BV67" s="4"/>
      <c r="BW67" s="4"/>
      <c r="BX67" s="4"/>
      <c r="BY67" s="4">
        <v>0</v>
      </c>
      <c r="BZ67" s="4"/>
      <c r="CA67" s="4">
        <v>0</v>
      </c>
      <c r="CB67" s="4">
        <v>0</v>
      </c>
      <c r="CC67" s="4">
        <v>1405206.6900000002</v>
      </c>
      <c r="CD67" s="1"/>
      <c r="CE67" s="1"/>
    </row>
    <row r="68" spans="4:83">
      <c r="D68" s="2">
        <v>41981</v>
      </c>
      <c r="E68" s="11">
        <f t="shared" si="7"/>
        <v>1422710.0899999999</v>
      </c>
      <c r="F68" s="4">
        <f t="shared" si="8"/>
        <v>1062951.69</v>
      </c>
      <c r="G68" s="4">
        <f t="shared" ref="G68:G99" si="24">F68/E68</f>
        <v>0.7471316169550748</v>
      </c>
      <c r="H68" s="4">
        <f t="shared" ref="H68:H73" si="25">AC68-AA68-Z68-CD68</f>
        <v>0</v>
      </c>
      <c r="I68" s="4">
        <f t="shared" ref="I68:I74" si="26">BG68-BE68-BD68-CE68</f>
        <v>0</v>
      </c>
      <c r="J68" s="4">
        <f t="shared" si="9"/>
        <v>0</v>
      </c>
      <c r="K68" s="4">
        <f t="shared" si="10"/>
        <v>0</v>
      </c>
      <c r="L68" s="4">
        <f t="shared" si="11"/>
        <v>0</v>
      </c>
      <c r="M68" s="4">
        <f t="shared" ref="M68:M99" si="27">L68/E68</f>
        <v>0</v>
      </c>
      <c r="N68" s="4">
        <f t="shared" si="12"/>
        <v>-0.24</v>
      </c>
      <c r="O68" s="4">
        <f t="shared" ref="O68:O99" si="28">N68/E68</f>
        <v>-1.6869213319489428E-7</v>
      </c>
      <c r="P68" s="4">
        <f t="shared" si="13"/>
        <v>1062951.45</v>
      </c>
      <c r="Q68" s="4">
        <f t="shared" ref="Q68:Q99" si="29">P68/E68</f>
        <v>0.74713144826294164</v>
      </c>
      <c r="R68" s="4">
        <v>64</v>
      </c>
      <c r="S68" s="4">
        <f t="shared" si="22"/>
        <v>1060193.9984561952</v>
      </c>
      <c r="T68" s="4">
        <f t="shared" si="23"/>
        <v>0.74519328000000007</v>
      </c>
      <c r="U68" s="11">
        <f t="shared" si="6"/>
        <v>359758.6399999999</v>
      </c>
      <c r="V68" s="11">
        <f t="shared" si="16"/>
        <v>0.25286855173705836</v>
      </c>
      <c r="W68" s="11">
        <f t="shared" si="17"/>
        <v>0.25480671999999993</v>
      </c>
      <c r="Y68" s="3">
        <v>41981</v>
      </c>
      <c r="Z68" s="4"/>
      <c r="AA68" s="4">
        <v>51608.639999999999</v>
      </c>
      <c r="AB68" s="4"/>
      <c r="AC68" s="4">
        <v>51608.639999999999</v>
      </c>
      <c r="AD68" s="4"/>
      <c r="AE68" s="4"/>
      <c r="AF68" s="4">
        <v>51608.639999999999</v>
      </c>
      <c r="AG68" s="4"/>
      <c r="AH68" s="4">
        <v>454761.3</v>
      </c>
      <c r="AI68" s="4"/>
      <c r="AJ68" s="4">
        <v>454761.3</v>
      </c>
      <c r="AK68" s="4"/>
      <c r="AL68" s="4">
        <v>354404.77</v>
      </c>
      <c r="AM68" s="4"/>
      <c r="AN68" s="4">
        <v>354404.77</v>
      </c>
      <c r="AO68" s="4"/>
      <c r="AP68" s="4">
        <v>160460.35999999999</v>
      </c>
      <c r="AQ68" s="4"/>
      <c r="AR68" s="4">
        <v>160460.35999999999</v>
      </c>
      <c r="AS68" s="4"/>
      <c r="AT68" s="4"/>
      <c r="AU68" s="4"/>
      <c r="AV68" s="4"/>
      <c r="AW68" s="4">
        <v>93325.26</v>
      </c>
      <c r="AX68" s="4"/>
      <c r="AY68" s="4">
        <v>93325.26</v>
      </c>
      <c r="AZ68" s="4"/>
      <c r="BA68" s="4"/>
      <c r="BB68" s="4"/>
      <c r="BC68" s="4">
        <v>1062951.69</v>
      </c>
      <c r="BD68" s="4"/>
      <c r="BE68" s="4">
        <v>38590.620000000003</v>
      </c>
      <c r="BF68" s="4"/>
      <c r="BG68" s="4">
        <v>38590.620000000003</v>
      </c>
      <c r="BH68" s="4"/>
      <c r="BI68" s="4"/>
      <c r="BJ68" s="4"/>
      <c r="BK68" s="4">
        <v>38590.620000000003</v>
      </c>
      <c r="BL68" s="4"/>
      <c r="BM68" s="4"/>
      <c r="BN68" s="4">
        <v>-0.24</v>
      </c>
      <c r="BO68" s="4"/>
      <c r="BP68" s="4">
        <v>-0.24</v>
      </c>
      <c r="BQ68" s="4">
        <v>-0.24</v>
      </c>
      <c r="BR68" s="4"/>
      <c r="BS68" s="4"/>
      <c r="BT68" s="4"/>
      <c r="BU68" s="4"/>
      <c r="BV68" s="4"/>
      <c r="BW68" s="4"/>
      <c r="BX68" s="4"/>
      <c r="BY68" s="4"/>
      <c r="BZ68" s="4"/>
      <c r="CA68" s="4"/>
      <c r="CB68" s="4"/>
      <c r="CC68" s="4">
        <v>1422710.0899999999</v>
      </c>
      <c r="CD68" s="1"/>
      <c r="CE68" s="1"/>
    </row>
    <row r="69" spans="4:83">
      <c r="D69" s="2">
        <v>41988</v>
      </c>
      <c r="E69" s="11">
        <f t="shared" ref="E69:E111" si="30">CC69</f>
        <v>1609581.04</v>
      </c>
      <c r="F69" s="4">
        <f t="shared" ref="F69:F111" si="31">BC69</f>
        <v>1215861.99</v>
      </c>
      <c r="G69" s="4">
        <f t="shared" si="24"/>
        <v>0.75539035300763724</v>
      </c>
      <c r="H69" s="4">
        <f t="shared" si="25"/>
        <v>0</v>
      </c>
      <c r="I69" s="4">
        <f t="shared" si="26"/>
        <v>0</v>
      </c>
      <c r="J69" s="4">
        <f t="shared" ref="J69:J111" si="32">SUM(H69:I69)</f>
        <v>0</v>
      </c>
      <c r="K69" s="4">
        <f t="shared" ref="K69:K111" si="33">SUM(AE69,BJ69)</f>
        <v>0</v>
      </c>
      <c r="L69" s="4">
        <f t="shared" ref="L69:L111" si="34">SUM(J69:K69)</f>
        <v>0</v>
      </c>
      <c r="M69" s="4">
        <f t="shared" si="27"/>
        <v>0</v>
      </c>
      <c r="N69" s="4">
        <f t="shared" ref="N69:N111" si="35">SUM(BQ69,BV69,CB69)</f>
        <v>2.84</v>
      </c>
      <c r="O69" s="4">
        <f t="shared" si="28"/>
        <v>1.7644343027301065E-6</v>
      </c>
      <c r="P69" s="4">
        <f t="shared" ref="P69:P111" si="36">SUM(F69,N69)</f>
        <v>1215864.83</v>
      </c>
      <c r="Q69" s="4">
        <f t="shared" si="29"/>
        <v>0.75539211744194013</v>
      </c>
      <c r="R69" s="4">
        <v>65</v>
      </c>
      <c r="S69" s="4">
        <f t="shared" ref="S69:S100" si="37">E69*T69</f>
        <v>1199995.0571828519</v>
      </c>
      <c r="T69" s="4">
        <f t="shared" ref="T69:T101" si="38">$B$9+$B$10*R69</f>
        <v>0.74553254999999996</v>
      </c>
      <c r="U69" s="11">
        <f t="shared" ref="U69:U101" si="39">E69-(F69+L69+N69)</f>
        <v>393716.20999999996</v>
      </c>
      <c r="V69" s="11">
        <f t="shared" ref="V69:V111" si="40">U69/E69</f>
        <v>0.24460788255805993</v>
      </c>
      <c r="W69" s="11">
        <f t="shared" si="17"/>
        <v>0.25446745000000004</v>
      </c>
      <c r="Y69" s="3">
        <v>41988</v>
      </c>
      <c r="Z69" s="4"/>
      <c r="AA69" s="4">
        <v>52570.8</v>
      </c>
      <c r="AB69" s="4"/>
      <c r="AC69" s="4">
        <v>52570.8</v>
      </c>
      <c r="AD69" s="4"/>
      <c r="AE69" s="4"/>
      <c r="AF69" s="4">
        <v>52570.8</v>
      </c>
      <c r="AG69" s="4"/>
      <c r="AH69" s="4">
        <v>520102.29</v>
      </c>
      <c r="AI69" s="4"/>
      <c r="AJ69" s="4">
        <v>520102.29</v>
      </c>
      <c r="AK69" s="4"/>
      <c r="AL69" s="4">
        <v>405876.39</v>
      </c>
      <c r="AM69" s="4"/>
      <c r="AN69" s="4">
        <v>405876.39</v>
      </c>
      <c r="AO69" s="4"/>
      <c r="AP69" s="4">
        <v>183211.32</v>
      </c>
      <c r="AQ69" s="4"/>
      <c r="AR69" s="4">
        <v>183211.32</v>
      </c>
      <c r="AS69" s="4"/>
      <c r="AT69" s="4"/>
      <c r="AU69" s="4"/>
      <c r="AV69" s="4"/>
      <c r="AW69" s="4">
        <v>106671.99</v>
      </c>
      <c r="AX69" s="4"/>
      <c r="AY69" s="4">
        <v>106671.99</v>
      </c>
      <c r="AZ69" s="4"/>
      <c r="BA69" s="4"/>
      <c r="BB69" s="4"/>
      <c r="BC69" s="4">
        <v>1215861.99</v>
      </c>
      <c r="BD69" s="4"/>
      <c r="BE69" s="4">
        <v>40255.660000000003</v>
      </c>
      <c r="BF69" s="4"/>
      <c r="BG69" s="4">
        <v>40255.660000000003</v>
      </c>
      <c r="BH69" s="4"/>
      <c r="BI69" s="4"/>
      <c r="BJ69" s="4"/>
      <c r="BK69" s="4">
        <v>40255.660000000003</v>
      </c>
      <c r="BL69" s="4"/>
      <c r="BM69" s="4"/>
      <c r="BN69" s="4">
        <v>2.84</v>
      </c>
      <c r="BO69" s="4"/>
      <c r="BP69" s="4">
        <v>2.84</v>
      </c>
      <c r="BQ69" s="4">
        <v>2.84</v>
      </c>
      <c r="BR69" s="4"/>
      <c r="BS69" s="4"/>
      <c r="BT69" s="4"/>
      <c r="BU69" s="4"/>
      <c r="BV69" s="4"/>
      <c r="BW69" s="4"/>
      <c r="BX69" s="4"/>
      <c r="BY69" s="4"/>
      <c r="BZ69" s="4"/>
      <c r="CA69" s="4"/>
      <c r="CB69" s="4"/>
      <c r="CC69" s="4">
        <v>1609581.04</v>
      </c>
      <c r="CD69" s="1"/>
      <c r="CE69" s="1"/>
    </row>
    <row r="70" spans="4:83">
      <c r="D70" s="2">
        <v>41995</v>
      </c>
      <c r="E70" s="11">
        <f t="shared" si="30"/>
        <v>1133959.5099999998</v>
      </c>
      <c r="F70" s="4">
        <f t="shared" si="31"/>
        <v>860370.9</v>
      </c>
      <c r="G70" s="4">
        <f t="shared" si="24"/>
        <v>0.75873158822046494</v>
      </c>
      <c r="H70" s="4">
        <f t="shared" si="25"/>
        <v>0</v>
      </c>
      <c r="I70" s="4">
        <f t="shared" si="26"/>
        <v>0</v>
      </c>
      <c r="J70" s="4">
        <f t="shared" si="32"/>
        <v>0</v>
      </c>
      <c r="K70" s="4">
        <f t="shared" si="33"/>
        <v>0</v>
      </c>
      <c r="L70" s="4">
        <f t="shared" si="34"/>
        <v>0</v>
      </c>
      <c r="M70" s="4">
        <f t="shared" si="27"/>
        <v>0</v>
      </c>
      <c r="N70" s="4">
        <f t="shared" si="35"/>
        <v>-0.12</v>
      </c>
      <c r="O70" s="4">
        <f t="shared" si="28"/>
        <v>-1.0582388431135431E-7</v>
      </c>
      <c r="P70" s="4">
        <f t="shared" si="36"/>
        <v>860370.78</v>
      </c>
      <c r="Q70" s="4">
        <f t="shared" si="29"/>
        <v>0.75873148239658061</v>
      </c>
      <c r="R70" s="4">
        <v>66</v>
      </c>
      <c r="S70" s="4">
        <f t="shared" si="37"/>
        <v>845788.44353000796</v>
      </c>
      <c r="T70" s="4">
        <f t="shared" si="38"/>
        <v>0.74587181999999996</v>
      </c>
      <c r="U70" s="11">
        <f t="shared" si="39"/>
        <v>273588.72999999975</v>
      </c>
      <c r="V70" s="11">
        <f t="shared" si="40"/>
        <v>0.24126851760341936</v>
      </c>
      <c r="W70" s="11">
        <f t="shared" ref="W70:W110" si="41">1-T70</f>
        <v>0.25412818000000004</v>
      </c>
      <c r="Y70" s="3">
        <v>41995</v>
      </c>
      <c r="Z70" s="4"/>
      <c r="AA70" s="4">
        <v>35476.629999999997</v>
      </c>
      <c r="AB70" s="4"/>
      <c r="AC70" s="4">
        <v>35476.629999999997</v>
      </c>
      <c r="AD70" s="4"/>
      <c r="AE70" s="4"/>
      <c r="AF70" s="4">
        <v>35476.629999999997</v>
      </c>
      <c r="AG70" s="4"/>
      <c r="AH70" s="4">
        <v>371406.9</v>
      </c>
      <c r="AI70" s="4"/>
      <c r="AJ70" s="4">
        <v>371406.9</v>
      </c>
      <c r="AK70" s="4"/>
      <c r="AL70" s="4">
        <v>282904.21999999997</v>
      </c>
      <c r="AM70" s="4"/>
      <c r="AN70" s="4">
        <v>282904.21999999997</v>
      </c>
      <c r="AO70" s="4"/>
      <c r="AP70" s="4">
        <v>130650.64</v>
      </c>
      <c r="AQ70" s="4"/>
      <c r="AR70" s="4">
        <v>130650.64</v>
      </c>
      <c r="AS70" s="4"/>
      <c r="AT70" s="4"/>
      <c r="AU70" s="4"/>
      <c r="AV70" s="4"/>
      <c r="AW70" s="4">
        <v>75409.14</v>
      </c>
      <c r="AX70" s="4"/>
      <c r="AY70" s="4">
        <v>75409.14</v>
      </c>
      <c r="AZ70" s="4"/>
      <c r="BA70" s="4"/>
      <c r="BB70" s="4"/>
      <c r="BC70" s="4">
        <v>860370.9</v>
      </c>
      <c r="BD70" s="4"/>
      <c r="BE70" s="4">
        <v>28748.15</v>
      </c>
      <c r="BF70" s="4"/>
      <c r="BG70" s="4">
        <v>28748.15</v>
      </c>
      <c r="BH70" s="4"/>
      <c r="BI70" s="4"/>
      <c r="BJ70" s="4"/>
      <c r="BK70" s="4">
        <v>28748.15</v>
      </c>
      <c r="BL70" s="4"/>
      <c r="BM70" s="4"/>
      <c r="BN70" s="4">
        <v>-0.12</v>
      </c>
      <c r="BO70" s="4"/>
      <c r="BP70" s="4">
        <v>-0.12</v>
      </c>
      <c r="BQ70" s="4">
        <v>-0.12</v>
      </c>
      <c r="BR70" s="4"/>
      <c r="BS70" s="4"/>
      <c r="BT70" s="4"/>
      <c r="BU70" s="4"/>
      <c r="BV70" s="4"/>
      <c r="BW70" s="4"/>
      <c r="BX70" s="4"/>
      <c r="BY70" s="4"/>
      <c r="BZ70" s="4"/>
      <c r="CA70" s="4"/>
      <c r="CB70" s="4"/>
      <c r="CC70" s="4">
        <v>1133959.5099999998</v>
      </c>
      <c r="CD70" s="1"/>
      <c r="CE70" s="1"/>
    </row>
    <row r="71" spans="4:83">
      <c r="D71" s="2">
        <v>42002</v>
      </c>
      <c r="E71" s="11">
        <f t="shared" si="30"/>
        <v>1249443.6399999992</v>
      </c>
      <c r="F71" s="4">
        <f t="shared" si="31"/>
        <v>948215.07000000007</v>
      </c>
      <c r="G71" s="4">
        <f t="shared" si="24"/>
        <v>0.75890983766182574</v>
      </c>
      <c r="H71" s="4">
        <f t="shared" si="25"/>
        <v>0</v>
      </c>
      <c r="I71" s="4">
        <f t="shared" si="26"/>
        <v>0</v>
      </c>
      <c r="J71" s="4">
        <f t="shared" si="32"/>
        <v>0</v>
      </c>
      <c r="K71" s="4">
        <f t="shared" si="33"/>
        <v>0</v>
      </c>
      <c r="L71" s="4">
        <f t="shared" si="34"/>
        <v>0</v>
      </c>
      <c r="M71" s="4">
        <f t="shared" si="27"/>
        <v>0</v>
      </c>
      <c r="N71" s="4">
        <f t="shared" si="35"/>
        <v>0</v>
      </c>
      <c r="O71" s="4">
        <f t="shared" si="28"/>
        <v>0</v>
      </c>
      <c r="P71" s="4">
        <f t="shared" si="36"/>
        <v>948215.07000000007</v>
      </c>
      <c r="Q71" s="4">
        <f t="shared" si="29"/>
        <v>0.75890983766182574</v>
      </c>
      <c r="R71" s="4">
        <v>67</v>
      </c>
      <c r="S71" s="4">
        <f t="shared" si="37"/>
        <v>932348.70049796696</v>
      </c>
      <c r="T71" s="4">
        <f t="shared" si="38"/>
        <v>0.74621108999999997</v>
      </c>
      <c r="U71" s="11">
        <f t="shared" si="39"/>
        <v>301228.56999999913</v>
      </c>
      <c r="V71" s="11">
        <f t="shared" si="40"/>
        <v>0.24109016233817424</v>
      </c>
      <c r="W71" s="11">
        <f t="shared" si="41"/>
        <v>0.25378891000000003</v>
      </c>
      <c r="Y71" s="3">
        <v>42002</v>
      </c>
      <c r="Z71" s="4"/>
      <c r="AA71" s="4">
        <v>37751.089999999997</v>
      </c>
      <c r="AB71" s="4"/>
      <c r="AC71" s="4">
        <v>37751.089999999997</v>
      </c>
      <c r="AD71" s="4"/>
      <c r="AE71" s="4"/>
      <c r="AF71" s="4">
        <v>37751.089999999997</v>
      </c>
      <c r="AG71" s="4"/>
      <c r="AH71" s="4">
        <v>423914.04</v>
      </c>
      <c r="AI71" s="4"/>
      <c r="AJ71" s="4">
        <v>423914.04</v>
      </c>
      <c r="AK71" s="4"/>
      <c r="AL71" s="4">
        <v>303513.84000000003</v>
      </c>
      <c r="AM71" s="4"/>
      <c r="AN71" s="4">
        <v>303513.84000000003</v>
      </c>
      <c r="AO71" s="4"/>
      <c r="AP71" s="4">
        <v>137038.45000000001</v>
      </c>
      <c r="AQ71" s="4"/>
      <c r="AR71" s="4">
        <v>137038.45000000001</v>
      </c>
      <c r="AS71" s="4"/>
      <c r="AT71" s="4"/>
      <c r="AU71" s="4"/>
      <c r="AV71" s="4"/>
      <c r="AW71" s="4">
        <v>83748.740000000005</v>
      </c>
      <c r="AX71" s="4"/>
      <c r="AY71" s="4">
        <v>83748.740000000005</v>
      </c>
      <c r="AZ71" s="4"/>
      <c r="BA71" s="4"/>
      <c r="BB71" s="4"/>
      <c r="BC71" s="4">
        <v>948215.07000000007</v>
      </c>
      <c r="BD71" s="4"/>
      <c r="BE71" s="4">
        <v>30539.98</v>
      </c>
      <c r="BF71" s="4"/>
      <c r="BG71" s="4">
        <v>30539.98</v>
      </c>
      <c r="BH71" s="4"/>
      <c r="BI71" s="4"/>
      <c r="BJ71" s="4"/>
      <c r="BK71" s="4">
        <v>30539.98</v>
      </c>
      <c r="BL71" s="4"/>
      <c r="BM71" s="4"/>
      <c r="BN71" s="4">
        <v>0</v>
      </c>
      <c r="BO71" s="4"/>
      <c r="BP71" s="4">
        <v>0</v>
      </c>
      <c r="BQ71" s="4">
        <v>0</v>
      </c>
      <c r="BR71" s="4"/>
      <c r="BS71" s="4"/>
      <c r="BT71" s="4"/>
      <c r="BU71" s="4"/>
      <c r="BV71" s="4"/>
      <c r="BW71" s="4"/>
      <c r="BX71" s="4"/>
      <c r="BY71" s="4"/>
      <c r="BZ71" s="4"/>
      <c r="CA71" s="4"/>
      <c r="CB71" s="4"/>
      <c r="CC71" s="4">
        <v>1249443.6399999992</v>
      </c>
      <c r="CD71" s="1"/>
      <c r="CE71" s="1"/>
    </row>
    <row r="72" spans="4:83">
      <c r="D72" s="2">
        <v>42009</v>
      </c>
      <c r="E72" s="11">
        <f t="shared" si="30"/>
        <v>1457728.2700000003</v>
      </c>
      <c r="F72" s="4">
        <f t="shared" si="31"/>
        <v>1099622.3</v>
      </c>
      <c r="G72" s="4">
        <f t="shared" si="24"/>
        <v>0.75433969597090944</v>
      </c>
      <c r="H72" s="4">
        <f t="shared" si="25"/>
        <v>-48122.29</v>
      </c>
      <c r="I72" s="4">
        <f t="shared" si="26"/>
        <v>-38564.449999999997</v>
      </c>
      <c r="J72" s="4">
        <f t="shared" si="32"/>
        <v>-86686.739999999991</v>
      </c>
      <c r="K72" s="4">
        <f t="shared" si="33"/>
        <v>-1.54</v>
      </c>
      <c r="L72" s="4">
        <f t="shared" si="34"/>
        <v>-86688.279999999984</v>
      </c>
      <c r="M72" s="4">
        <f t="shared" si="27"/>
        <v>-5.946806533428893E-2</v>
      </c>
      <c r="N72" s="4">
        <f t="shared" si="35"/>
        <v>0.8600000000000001</v>
      </c>
      <c r="O72" s="4">
        <f t="shared" si="28"/>
        <v>5.8995906006542631E-7</v>
      </c>
      <c r="P72" s="4">
        <f t="shared" si="36"/>
        <v>1099623.1600000001</v>
      </c>
      <c r="Q72" s="4">
        <f t="shared" si="29"/>
        <v>0.7543402859299696</v>
      </c>
      <c r="R72" s="4">
        <v>68</v>
      </c>
      <c r="S72" s="4">
        <f t="shared" si="37"/>
        <v>1088267.5647506774</v>
      </c>
      <c r="T72" s="4">
        <f t="shared" si="38"/>
        <v>0.74655035999999997</v>
      </c>
      <c r="U72" s="11">
        <f t="shared" si="39"/>
        <v>444793.39000000025</v>
      </c>
      <c r="V72" s="11">
        <f t="shared" si="40"/>
        <v>0.3051277794043194</v>
      </c>
      <c r="W72" s="11">
        <f t="shared" si="41"/>
        <v>0.25344964000000003</v>
      </c>
      <c r="Y72" s="3">
        <v>42009</v>
      </c>
      <c r="Z72" s="4"/>
      <c r="AA72" s="45">
        <v>48122.29</v>
      </c>
      <c r="AB72" s="4">
        <v>44587.51</v>
      </c>
      <c r="AC72" s="4">
        <v>44587.51</v>
      </c>
      <c r="AD72" s="4">
        <v>-0.12</v>
      </c>
      <c r="AE72" s="4">
        <v>-0.12</v>
      </c>
      <c r="AF72" s="4">
        <v>44587.39</v>
      </c>
      <c r="AG72" s="4"/>
      <c r="AH72" s="4"/>
      <c r="AI72" s="4">
        <v>537162.80000000005</v>
      </c>
      <c r="AJ72" s="4">
        <v>537162.80000000005</v>
      </c>
      <c r="AK72" s="4"/>
      <c r="AL72" s="4"/>
      <c r="AM72" s="4">
        <v>323671.28999999998</v>
      </c>
      <c r="AN72" s="4">
        <v>323671.28999999998</v>
      </c>
      <c r="AO72" s="4"/>
      <c r="AP72" s="4"/>
      <c r="AQ72" s="4">
        <v>150564.6</v>
      </c>
      <c r="AR72" s="4">
        <v>150564.6</v>
      </c>
      <c r="AS72" s="4"/>
      <c r="AT72" s="4"/>
      <c r="AU72" s="4"/>
      <c r="AV72" s="4"/>
      <c r="AW72" s="4"/>
      <c r="AX72" s="4">
        <v>88223.61</v>
      </c>
      <c r="AY72" s="4">
        <v>88223.61</v>
      </c>
      <c r="AZ72" s="4"/>
      <c r="BA72" s="4"/>
      <c r="BB72" s="4"/>
      <c r="BC72" s="4">
        <v>1099622.3</v>
      </c>
      <c r="BD72" s="4"/>
      <c r="BE72" s="45">
        <v>38564.449999999997</v>
      </c>
      <c r="BF72" s="4">
        <v>34154.61</v>
      </c>
      <c r="BG72" s="4">
        <v>34154.61</v>
      </c>
      <c r="BH72" s="4"/>
      <c r="BI72" s="4">
        <v>-1.42</v>
      </c>
      <c r="BJ72" s="4">
        <v>-1.42</v>
      </c>
      <c r="BK72" s="4">
        <v>34153.19</v>
      </c>
      <c r="BL72" s="4"/>
      <c r="BM72" s="4"/>
      <c r="BN72" s="4"/>
      <c r="BO72" s="4"/>
      <c r="BP72" s="4"/>
      <c r="BQ72" s="4"/>
      <c r="BR72" s="4">
        <v>-0.5</v>
      </c>
      <c r="BS72" s="4">
        <v>-0.5</v>
      </c>
      <c r="BT72" s="4"/>
      <c r="BU72" s="4"/>
      <c r="BV72" s="4">
        <v>-0.5</v>
      </c>
      <c r="BW72" s="4"/>
      <c r="BX72" s="4"/>
      <c r="BY72" s="4"/>
      <c r="BZ72" s="4">
        <v>1.36</v>
      </c>
      <c r="CA72" s="4">
        <v>1.36</v>
      </c>
      <c r="CB72" s="4">
        <v>1.36</v>
      </c>
      <c r="CC72" s="4">
        <v>1457728.2700000003</v>
      </c>
      <c r="CD72" s="1">
        <v>44587.51</v>
      </c>
      <c r="CE72" s="1">
        <v>34154.61</v>
      </c>
    </row>
    <row r="73" spans="4:83">
      <c r="D73" s="2">
        <v>42016</v>
      </c>
      <c r="E73" s="11">
        <f t="shared" si="30"/>
        <v>1340650.4199999995</v>
      </c>
      <c r="F73" s="4">
        <f t="shared" si="31"/>
        <v>1020608.8599999999</v>
      </c>
      <c r="G73" s="4">
        <f t="shared" si="24"/>
        <v>0.76127888730307514</v>
      </c>
      <c r="H73" s="4">
        <f t="shared" si="25"/>
        <v>-48175.24</v>
      </c>
      <c r="I73" s="4">
        <f t="shared" si="26"/>
        <v>-37058.99</v>
      </c>
      <c r="J73" s="4">
        <f t="shared" si="32"/>
        <v>-85234.23</v>
      </c>
      <c r="K73" s="4">
        <f t="shared" si="33"/>
        <v>0</v>
      </c>
      <c r="L73" s="4">
        <f t="shared" si="34"/>
        <v>-85234.23</v>
      </c>
      <c r="M73" s="4">
        <f t="shared" si="27"/>
        <v>-6.3576774920937273E-2</v>
      </c>
      <c r="N73" s="4">
        <f t="shared" si="35"/>
        <v>-1.1299999999999999</v>
      </c>
      <c r="O73" s="4">
        <f t="shared" si="28"/>
        <v>-8.4287446089040898E-7</v>
      </c>
      <c r="P73" s="4">
        <f t="shared" si="36"/>
        <v>1020607.7299999999</v>
      </c>
      <c r="Q73" s="4">
        <f t="shared" si="29"/>
        <v>0.76127804442861424</v>
      </c>
      <c r="R73" s="4">
        <v>69</v>
      </c>
      <c r="S73" s="4">
        <f t="shared" si="37"/>
        <v>1001317.8961531442</v>
      </c>
      <c r="T73" s="4">
        <f t="shared" si="38"/>
        <v>0.74688962999999997</v>
      </c>
      <c r="U73" s="11">
        <f t="shared" si="39"/>
        <v>405276.91999999958</v>
      </c>
      <c r="V73" s="11">
        <f t="shared" si="40"/>
        <v>0.30229873049232309</v>
      </c>
      <c r="W73" s="11">
        <f t="shared" si="41"/>
        <v>0.25311037000000003</v>
      </c>
      <c r="Y73" s="3">
        <v>42016</v>
      </c>
      <c r="Z73" s="4"/>
      <c r="AA73" s="45">
        <v>48175.24</v>
      </c>
      <c r="AB73" s="4">
        <v>38220.800000000003</v>
      </c>
      <c r="AC73" s="4">
        <v>38220.800000000003</v>
      </c>
      <c r="AD73" s="4">
        <v>0</v>
      </c>
      <c r="AE73" s="4">
        <v>0</v>
      </c>
      <c r="AF73" s="4">
        <v>38220.800000000003</v>
      </c>
      <c r="AG73" s="4"/>
      <c r="AH73" s="4"/>
      <c r="AI73" s="4">
        <v>471710.68</v>
      </c>
      <c r="AJ73" s="4">
        <v>471710.68</v>
      </c>
      <c r="AK73" s="4"/>
      <c r="AL73" s="4"/>
      <c r="AM73" s="4">
        <v>317098.42</v>
      </c>
      <c r="AN73" s="4">
        <v>317098.42</v>
      </c>
      <c r="AO73" s="4"/>
      <c r="AP73" s="4"/>
      <c r="AQ73" s="4">
        <v>144009.81</v>
      </c>
      <c r="AR73" s="4">
        <v>144009.81</v>
      </c>
      <c r="AS73" s="4"/>
      <c r="AT73" s="4"/>
      <c r="AU73" s="4"/>
      <c r="AV73" s="4"/>
      <c r="AW73" s="4"/>
      <c r="AX73" s="4">
        <v>87789.95</v>
      </c>
      <c r="AY73" s="4">
        <v>87789.95</v>
      </c>
      <c r="AZ73" s="4"/>
      <c r="BA73" s="4"/>
      <c r="BB73" s="4"/>
      <c r="BC73" s="4">
        <v>1020608.8599999999</v>
      </c>
      <c r="BD73" s="4"/>
      <c r="BE73" s="45">
        <v>37058.99</v>
      </c>
      <c r="BF73" s="4">
        <v>28314.69</v>
      </c>
      <c r="BG73" s="4">
        <v>28314.69</v>
      </c>
      <c r="BH73" s="4"/>
      <c r="BI73" s="4">
        <v>0</v>
      </c>
      <c r="BJ73" s="4">
        <v>0</v>
      </c>
      <c r="BK73" s="4">
        <v>28314.69</v>
      </c>
      <c r="BL73" s="4"/>
      <c r="BM73" s="4"/>
      <c r="BN73" s="4"/>
      <c r="BO73" s="4">
        <v>-0.54</v>
      </c>
      <c r="BP73" s="4">
        <v>-0.54</v>
      </c>
      <c r="BQ73" s="4">
        <v>-0.54</v>
      </c>
      <c r="BR73" s="4"/>
      <c r="BS73" s="4"/>
      <c r="BT73" s="4"/>
      <c r="BU73" s="4"/>
      <c r="BV73" s="4"/>
      <c r="BW73" s="4"/>
      <c r="BX73" s="4"/>
      <c r="BY73" s="4"/>
      <c r="BZ73" s="4">
        <v>-0.59</v>
      </c>
      <c r="CA73" s="4">
        <v>-0.59</v>
      </c>
      <c r="CB73" s="4">
        <v>-0.59</v>
      </c>
      <c r="CC73" s="4">
        <v>1340650.4199999995</v>
      </c>
      <c r="CD73" s="1">
        <v>38220.800000000003</v>
      </c>
      <c r="CE73" s="1">
        <v>28314.69</v>
      </c>
    </row>
    <row r="74" spans="4:83">
      <c r="D74" s="2">
        <v>42023</v>
      </c>
      <c r="E74" s="11">
        <f t="shared" si="30"/>
        <v>1403901.5599999996</v>
      </c>
      <c r="F74" s="4">
        <f t="shared" si="31"/>
        <v>1093795.26</v>
      </c>
      <c r="G74" s="4">
        <f t="shared" si="24"/>
        <v>0.77911107955460945</v>
      </c>
      <c r="H74" s="4">
        <f t="shared" ref="H74:H111" si="42">AC74-AA74-Z74-CD74</f>
        <v>-44945.35</v>
      </c>
      <c r="I74" s="4">
        <f t="shared" si="26"/>
        <v>-35163.519999999997</v>
      </c>
      <c r="J74" s="4">
        <f t="shared" si="32"/>
        <v>-80108.87</v>
      </c>
      <c r="K74" s="4">
        <f t="shared" si="33"/>
        <v>-2.4900000000000002</v>
      </c>
      <c r="L74" s="4">
        <f t="shared" si="34"/>
        <v>-80111.360000000001</v>
      </c>
      <c r="M74" s="4">
        <f t="shared" si="27"/>
        <v>-5.7063374158512953E-2</v>
      </c>
      <c r="N74" s="4">
        <f t="shared" si="35"/>
        <v>-1.1800000000000002</v>
      </c>
      <c r="O74" s="4">
        <f t="shared" si="28"/>
        <v>-8.4051477227505928E-7</v>
      </c>
      <c r="P74" s="4">
        <f t="shared" si="36"/>
        <v>1093794.08</v>
      </c>
      <c r="Q74" s="4">
        <f t="shared" si="29"/>
        <v>0.77911023903983723</v>
      </c>
      <c r="R74" s="4">
        <v>70</v>
      </c>
      <c r="S74" s="4">
        <f t="shared" si="37"/>
        <v>1049035.8183870837</v>
      </c>
      <c r="T74" s="4">
        <f t="shared" si="38"/>
        <v>0.74722889999999997</v>
      </c>
      <c r="U74" s="11">
        <f t="shared" si="39"/>
        <v>390218.83999999962</v>
      </c>
      <c r="V74" s="11">
        <f t="shared" si="40"/>
        <v>0.27795313511867581</v>
      </c>
      <c r="W74" s="11">
        <f t="shared" si="41"/>
        <v>0.25277110000000003</v>
      </c>
      <c r="Y74" s="3">
        <v>42023</v>
      </c>
      <c r="Z74" s="4"/>
      <c r="AA74" s="45">
        <v>44945.35</v>
      </c>
      <c r="AB74" s="4">
        <v>34019.94</v>
      </c>
      <c r="AC74" s="4">
        <v>34019.94</v>
      </c>
      <c r="AD74" s="4">
        <v>-1.54</v>
      </c>
      <c r="AE74" s="4">
        <v>-1.54</v>
      </c>
      <c r="AF74" s="4">
        <v>34018.400000000001</v>
      </c>
      <c r="AG74" s="4"/>
      <c r="AH74" s="4"/>
      <c r="AI74" s="4">
        <v>470324.85</v>
      </c>
      <c r="AJ74" s="4">
        <v>470324.85</v>
      </c>
      <c r="AK74" s="4"/>
      <c r="AL74" s="4"/>
      <c r="AM74" s="4">
        <v>392566.63</v>
      </c>
      <c r="AN74" s="4">
        <v>392566.63</v>
      </c>
      <c r="AO74" s="4"/>
      <c r="AP74" s="4"/>
      <c r="AQ74" s="4">
        <v>142326.25</v>
      </c>
      <c r="AR74" s="4">
        <v>142326.25</v>
      </c>
      <c r="AS74" s="4"/>
      <c r="AT74" s="4"/>
      <c r="AU74" s="4"/>
      <c r="AV74" s="4"/>
      <c r="AW74" s="4"/>
      <c r="AX74" s="4">
        <v>88577.53</v>
      </c>
      <c r="AY74" s="4">
        <v>88577.53</v>
      </c>
      <c r="AZ74" s="4"/>
      <c r="BA74" s="4"/>
      <c r="BB74" s="4"/>
      <c r="BC74" s="4">
        <v>1093795.26</v>
      </c>
      <c r="BD74" s="4"/>
      <c r="BE74" s="45">
        <v>35163.519999999997</v>
      </c>
      <c r="BF74" s="4">
        <v>25411.54</v>
      </c>
      <c r="BG74" s="4">
        <v>25411.54</v>
      </c>
      <c r="BH74" s="4"/>
      <c r="BI74" s="4">
        <v>-0.95</v>
      </c>
      <c r="BJ74" s="4">
        <v>-0.95</v>
      </c>
      <c r="BK74" s="4">
        <v>25410.59</v>
      </c>
      <c r="BL74" s="4"/>
      <c r="BM74" s="4"/>
      <c r="BN74" s="4"/>
      <c r="BO74" s="4">
        <v>-0.06</v>
      </c>
      <c r="BP74" s="4">
        <v>-0.06</v>
      </c>
      <c r="BQ74" s="4">
        <v>-0.06</v>
      </c>
      <c r="BR74" s="4">
        <v>0</v>
      </c>
      <c r="BS74" s="4">
        <v>0</v>
      </c>
      <c r="BT74" s="4">
        <v>0</v>
      </c>
      <c r="BU74" s="4">
        <v>0</v>
      </c>
      <c r="BV74" s="4">
        <v>0</v>
      </c>
      <c r="BW74" s="4"/>
      <c r="BX74" s="4"/>
      <c r="BY74" s="4"/>
      <c r="BZ74" s="4">
        <v>-1.1200000000000001</v>
      </c>
      <c r="CA74" s="4">
        <v>-1.1200000000000001</v>
      </c>
      <c r="CB74" s="4">
        <v>-1.1200000000000001</v>
      </c>
      <c r="CC74" s="4">
        <v>1403901.5599999996</v>
      </c>
      <c r="CD74" s="1">
        <v>34019.94</v>
      </c>
      <c r="CE74" s="1">
        <v>25411.54</v>
      </c>
    </row>
    <row r="75" spans="4:83">
      <c r="D75" s="2">
        <v>42030</v>
      </c>
      <c r="E75" s="11">
        <f t="shared" si="30"/>
        <v>1354121.24</v>
      </c>
      <c r="F75" s="4">
        <f t="shared" si="31"/>
        <v>1042592.6100000001</v>
      </c>
      <c r="G75" s="4">
        <f t="shared" si="24"/>
        <v>0.76994037107046642</v>
      </c>
      <c r="H75" s="4">
        <f t="shared" si="42"/>
        <v>-46624.959999999999</v>
      </c>
      <c r="I75" s="4">
        <f>BG75-BE75-BD75-CE75</f>
        <v>-36462</v>
      </c>
      <c r="J75" s="4">
        <f t="shared" si="32"/>
        <v>-83086.959999999992</v>
      </c>
      <c r="K75" s="4">
        <f t="shared" si="33"/>
        <v>-1.3</v>
      </c>
      <c r="L75" s="4">
        <f t="shared" si="34"/>
        <v>-83088.259999999995</v>
      </c>
      <c r="M75" s="4">
        <f t="shared" si="27"/>
        <v>-6.1359542665470633E-2</v>
      </c>
      <c r="N75" s="4">
        <f t="shared" si="35"/>
        <v>10.34</v>
      </c>
      <c r="O75" s="4">
        <f t="shared" si="28"/>
        <v>7.6359484620446537E-6</v>
      </c>
      <c r="P75" s="4">
        <f t="shared" si="36"/>
        <v>1042602.9500000001</v>
      </c>
      <c r="Q75" s="4">
        <f t="shared" si="29"/>
        <v>0.7699480070189284</v>
      </c>
      <c r="R75" s="4">
        <v>71</v>
      </c>
      <c r="S75" s="4">
        <f t="shared" si="37"/>
        <v>1012297.9373449307</v>
      </c>
      <c r="T75" s="4">
        <f t="shared" si="38"/>
        <v>0.74756816999999998</v>
      </c>
      <c r="U75" s="11">
        <f t="shared" si="39"/>
        <v>394606.54999999993</v>
      </c>
      <c r="V75" s="11">
        <f t="shared" si="40"/>
        <v>0.29141153564654221</v>
      </c>
      <c r="W75" s="11">
        <f t="shared" si="41"/>
        <v>0.25243183000000002</v>
      </c>
      <c r="Y75" s="3">
        <v>42030</v>
      </c>
      <c r="Z75" s="4"/>
      <c r="AA75" s="45">
        <v>46624.959999999999</v>
      </c>
      <c r="AB75" s="4">
        <v>31512.74</v>
      </c>
      <c r="AC75" s="4">
        <v>31512.74</v>
      </c>
      <c r="AD75" s="4">
        <v>-1.3</v>
      </c>
      <c r="AE75" s="4">
        <v>-1.3</v>
      </c>
      <c r="AF75" s="4">
        <v>31511.440000000002</v>
      </c>
      <c r="AG75" s="4"/>
      <c r="AH75" s="4"/>
      <c r="AI75" s="4">
        <v>481142.42</v>
      </c>
      <c r="AJ75" s="4">
        <v>481142.42</v>
      </c>
      <c r="AK75" s="4"/>
      <c r="AL75" s="4"/>
      <c r="AM75" s="4">
        <v>328128.14</v>
      </c>
      <c r="AN75" s="4">
        <v>328128.14</v>
      </c>
      <c r="AO75" s="4"/>
      <c r="AP75" s="4"/>
      <c r="AQ75" s="4">
        <v>145080.64000000001</v>
      </c>
      <c r="AR75" s="4">
        <v>145080.64000000001</v>
      </c>
      <c r="AS75" s="4"/>
      <c r="AT75" s="4"/>
      <c r="AU75" s="4"/>
      <c r="AV75" s="4"/>
      <c r="AW75" s="4"/>
      <c r="AX75" s="4">
        <v>88241.41</v>
      </c>
      <c r="AY75" s="4">
        <v>88241.41</v>
      </c>
      <c r="AZ75" s="4"/>
      <c r="BA75" s="4"/>
      <c r="BB75" s="4"/>
      <c r="BC75" s="4">
        <v>1042592.6100000001</v>
      </c>
      <c r="BD75" s="4"/>
      <c r="BE75" s="45">
        <v>36462</v>
      </c>
      <c r="BF75" s="4">
        <v>23269.79</v>
      </c>
      <c r="BG75" s="4">
        <v>23269.79</v>
      </c>
      <c r="BH75" s="4"/>
      <c r="BI75" s="4">
        <v>0</v>
      </c>
      <c r="BJ75" s="4">
        <v>0</v>
      </c>
      <c r="BK75" s="4">
        <v>23269.79</v>
      </c>
      <c r="BL75" s="4">
        <v>13</v>
      </c>
      <c r="BM75" s="4">
        <v>13</v>
      </c>
      <c r="BN75" s="4"/>
      <c r="BO75" s="4">
        <v>-1.42</v>
      </c>
      <c r="BP75" s="4">
        <v>-1.42</v>
      </c>
      <c r="BQ75" s="4">
        <v>11.58</v>
      </c>
      <c r="BR75" s="4">
        <v>0</v>
      </c>
      <c r="BS75" s="4">
        <v>0</v>
      </c>
      <c r="BT75" s="4">
        <v>0</v>
      </c>
      <c r="BU75" s="4">
        <v>0</v>
      </c>
      <c r="BV75" s="4">
        <v>0</v>
      </c>
      <c r="BW75" s="4"/>
      <c r="BX75" s="4"/>
      <c r="BY75" s="4"/>
      <c r="BZ75" s="4">
        <v>-1.24</v>
      </c>
      <c r="CA75" s="4">
        <v>-1.24</v>
      </c>
      <c r="CB75" s="4">
        <v>-1.24</v>
      </c>
      <c r="CC75" s="4">
        <v>1354121.24</v>
      </c>
      <c r="CD75" s="1">
        <v>31512.74</v>
      </c>
      <c r="CE75" s="1">
        <v>23269.79</v>
      </c>
    </row>
    <row r="76" spans="4:83">
      <c r="D76" s="2">
        <v>42037</v>
      </c>
      <c r="E76" s="11">
        <f t="shared" si="30"/>
        <v>1257881.31</v>
      </c>
      <c r="F76" s="4">
        <f t="shared" si="31"/>
        <v>970338.55</v>
      </c>
      <c r="G76" s="4">
        <f t="shared" si="24"/>
        <v>0.77140708132470781</v>
      </c>
      <c r="H76" s="4">
        <f t="shared" si="42"/>
        <v>-22804.079999999998</v>
      </c>
      <c r="I76" s="4">
        <f t="shared" ref="I76:I111" si="43">BG76-BE76-BD76-CE76</f>
        <v>-18496.839999999997</v>
      </c>
      <c r="J76" s="4">
        <f t="shared" si="32"/>
        <v>-41300.92</v>
      </c>
      <c r="K76" s="4">
        <f t="shared" si="33"/>
        <v>2354.35</v>
      </c>
      <c r="L76" s="4">
        <f t="shared" si="34"/>
        <v>-38946.57</v>
      </c>
      <c r="M76" s="4">
        <f t="shared" si="27"/>
        <v>-3.0962038858817289E-2</v>
      </c>
      <c r="N76" s="4">
        <f t="shared" si="35"/>
        <v>5392.7800000000007</v>
      </c>
      <c r="O76" s="4">
        <f t="shared" si="28"/>
        <v>4.2871930420843923E-3</v>
      </c>
      <c r="P76" s="4">
        <f t="shared" si="36"/>
        <v>975731.33000000007</v>
      </c>
      <c r="Q76" s="4">
        <f t="shared" si="29"/>
        <v>0.77569427436679228</v>
      </c>
      <c r="R76" s="4">
        <v>72</v>
      </c>
      <c r="S76" s="4">
        <f t="shared" si="37"/>
        <v>940778.7903859464</v>
      </c>
      <c r="T76" s="4">
        <f t="shared" si="38"/>
        <v>0.74790743999999998</v>
      </c>
      <c r="U76" s="11">
        <f t="shared" si="39"/>
        <v>321096.54999999993</v>
      </c>
      <c r="V76" s="11">
        <f t="shared" si="40"/>
        <v>0.25526776449202504</v>
      </c>
      <c r="W76" s="11">
        <f t="shared" si="41"/>
        <v>0.25209256000000002</v>
      </c>
      <c r="Y76" s="3">
        <v>42037</v>
      </c>
      <c r="Z76" s="4"/>
      <c r="AA76" s="45">
        <v>44533.56</v>
      </c>
      <c r="AB76" s="4">
        <v>21729.48</v>
      </c>
      <c r="AC76" s="4">
        <v>21729.48</v>
      </c>
      <c r="AD76" s="4">
        <v>1400.11</v>
      </c>
      <c r="AE76" s="4">
        <v>1400.11</v>
      </c>
      <c r="AF76" s="4">
        <v>23129.59</v>
      </c>
      <c r="AG76" s="4"/>
      <c r="AH76" s="4"/>
      <c r="AI76" s="4">
        <v>394451.14</v>
      </c>
      <c r="AJ76" s="4">
        <v>394451.14</v>
      </c>
      <c r="AK76" s="4"/>
      <c r="AL76" s="4"/>
      <c r="AM76" s="4">
        <v>329949.34000000003</v>
      </c>
      <c r="AN76" s="4">
        <v>329949.34000000003</v>
      </c>
      <c r="AO76" s="4"/>
      <c r="AP76" s="4"/>
      <c r="AQ76" s="4">
        <v>155087.29999999999</v>
      </c>
      <c r="AR76" s="4">
        <v>155087.29999999999</v>
      </c>
      <c r="AS76" s="4"/>
      <c r="AT76" s="4"/>
      <c r="AU76" s="4"/>
      <c r="AV76" s="4"/>
      <c r="AW76" s="4"/>
      <c r="AX76" s="4">
        <v>90850.77</v>
      </c>
      <c r="AY76" s="4">
        <v>90850.77</v>
      </c>
      <c r="AZ76" s="4"/>
      <c r="BA76" s="4"/>
      <c r="BB76" s="4"/>
      <c r="BC76" s="4">
        <v>970338.55</v>
      </c>
      <c r="BD76" s="4"/>
      <c r="BE76" s="45">
        <v>34159.949999999997</v>
      </c>
      <c r="BF76" s="4">
        <v>15663.11</v>
      </c>
      <c r="BG76" s="4">
        <v>15663.11</v>
      </c>
      <c r="BH76" s="4"/>
      <c r="BI76" s="4">
        <v>954.24</v>
      </c>
      <c r="BJ76" s="4">
        <v>954.24</v>
      </c>
      <c r="BK76" s="4">
        <v>16617.350000000002</v>
      </c>
      <c r="BL76" s="4">
        <v>544</v>
      </c>
      <c r="BM76" s="4">
        <v>544</v>
      </c>
      <c r="BN76" s="4"/>
      <c r="BO76" s="4">
        <v>1504.13</v>
      </c>
      <c r="BP76" s="4">
        <v>1504.13</v>
      </c>
      <c r="BQ76" s="4">
        <v>2048.13</v>
      </c>
      <c r="BR76" s="4">
        <v>481</v>
      </c>
      <c r="BS76" s="4">
        <v>481</v>
      </c>
      <c r="BT76" s="4">
        <v>1359.88</v>
      </c>
      <c r="BU76" s="4">
        <v>1359.88</v>
      </c>
      <c r="BV76" s="4">
        <v>1840.88</v>
      </c>
      <c r="BW76" s="4"/>
      <c r="BX76" s="4"/>
      <c r="BY76" s="4"/>
      <c r="BZ76" s="4">
        <v>1503.77</v>
      </c>
      <c r="CA76" s="4">
        <v>1503.77</v>
      </c>
      <c r="CB76" s="4">
        <v>1503.77</v>
      </c>
      <c r="CC76" s="4">
        <v>1257881.31</v>
      </c>
      <c r="CD76" s="1"/>
      <c r="CE76" s="1"/>
    </row>
    <row r="77" spans="4:83">
      <c r="D77" s="2">
        <v>42044</v>
      </c>
      <c r="E77" s="11">
        <f t="shared" si="30"/>
        <v>1464542.7499999998</v>
      </c>
      <c r="F77" s="4">
        <f t="shared" si="31"/>
        <v>1059141.5799999998</v>
      </c>
      <c r="G77" s="4">
        <f t="shared" si="24"/>
        <v>0.72318925480324836</v>
      </c>
      <c r="H77" s="4">
        <f t="shared" si="42"/>
        <v>-30607.599999999999</v>
      </c>
      <c r="I77" s="4">
        <f t="shared" si="43"/>
        <v>-24842.77</v>
      </c>
      <c r="J77" s="4">
        <f t="shared" si="32"/>
        <v>-55450.369999999995</v>
      </c>
      <c r="K77" s="4">
        <f t="shared" si="33"/>
        <v>38961.120000000003</v>
      </c>
      <c r="L77" s="4">
        <f t="shared" si="34"/>
        <v>-16489.249999999993</v>
      </c>
      <c r="M77" s="4">
        <f t="shared" si="27"/>
        <v>-1.1258974857510984E-2</v>
      </c>
      <c r="N77" s="4">
        <f t="shared" si="35"/>
        <v>86279.91</v>
      </c>
      <c r="O77" s="4">
        <f t="shared" si="28"/>
        <v>5.891252406254445E-2</v>
      </c>
      <c r="P77" s="4">
        <f t="shared" si="36"/>
        <v>1145421.4899999998</v>
      </c>
      <c r="Q77" s="4">
        <f t="shared" si="29"/>
        <v>0.78210177886579269</v>
      </c>
      <c r="R77" s="4">
        <v>73</v>
      </c>
      <c r="S77" s="4">
        <f t="shared" si="37"/>
        <v>1095839.2943418522</v>
      </c>
      <c r="T77" s="4">
        <f t="shared" si="38"/>
        <v>0.74824670999999998</v>
      </c>
      <c r="U77" s="11">
        <f t="shared" si="39"/>
        <v>335610.51</v>
      </c>
      <c r="V77" s="11">
        <f t="shared" si="40"/>
        <v>0.22915719599171827</v>
      </c>
      <c r="W77" s="11">
        <f t="shared" si="41"/>
        <v>0.25175329000000002</v>
      </c>
      <c r="Y77" s="3">
        <v>42044</v>
      </c>
      <c r="Z77" s="4"/>
      <c r="AA77" s="45">
        <v>47024.21</v>
      </c>
      <c r="AB77" s="4">
        <v>16416.61</v>
      </c>
      <c r="AC77" s="4">
        <v>16416.61</v>
      </c>
      <c r="AD77" s="4">
        <v>19825.060000000001</v>
      </c>
      <c r="AE77" s="4">
        <v>19825.060000000001</v>
      </c>
      <c r="AF77" s="4">
        <v>36241.67</v>
      </c>
      <c r="AG77" s="4"/>
      <c r="AH77" s="4"/>
      <c r="AI77" s="4">
        <v>437233.17</v>
      </c>
      <c r="AJ77" s="4">
        <v>437233.17</v>
      </c>
      <c r="AK77" s="4"/>
      <c r="AL77" s="4"/>
      <c r="AM77" s="4">
        <v>345483.17</v>
      </c>
      <c r="AN77" s="4">
        <v>345483.17</v>
      </c>
      <c r="AO77" s="4"/>
      <c r="AP77" s="4"/>
      <c r="AQ77" s="4">
        <v>178813.07</v>
      </c>
      <c r="AR77" s="4">
        <v>178813.07</v>
      </c>
      <c r="AS77" s="4"/>
      <c r="AT77" s="4"/>
      <c r="AU77" s="4"/>
      <c r="AV77" s="4"/>
      <c r="AW77" s="4"/>
      <c r="AX77" s="4">
        <v>97612.17</v>
      </c>
      <c r="AY77" s="4">
        <v>97612.17</v>
      </c>
      <c r="AZ77" s="4"/>
      <c r="BA77" s="4"/>
      <c r="BB77" s="4"/>
      <c r="BC77" s="4">
        <v>1059141.5799999998</v>
      </c>
      <c r="BD77" s="4"/>
      <c r="BE77" s="45">
        <v>36034.86</v>
      </c>
      <c r="BF77" s="4">
        <v>11192.09</v>
      </c>
      <c r="BG77" s="4">
        <v>11192.09</v>
      </c>
      <c r="BH77" s="4"/>
      <c r="BI77" s="4">
        <v>19136.060000000001</v>
      </c>
      <c r="BJ77" s="4">
        <v>19136.060000000001</v>
      </c>
      <c r="BK77" s="4">
        <v>30328.15</v>
      </c>
      <c r="BL77" s="4">
        <v>14002.99</v>
      </c>
      <c r="BM77" s="4">
        <v>14002.99</v>
      </c>
      <c r="BN77" s="4"/>
      <c r="BO77" s="4">
        <v>25713.759999999998</v>
      </c>
      <c r="BP77" s="4">
        <v>25713.759999999998</v>
      </c>
      <c r="BQ77" s="4">
        <v>39716.75</v>
      </c>
      <c r="BR77" s="4">
        <v>10112.65</v>
      </c>
      <c r="BS77" s="4">
        <v>10112.65</v>
      </c>
      <c r="BT77" s="4">
        <v>18695.509999999998</v>
      </c>
      <c r="BU77" s="4">
        <v>18695.509999999998</v>
      </c>
      <c r="BV77" s="4">
        <v>28808.159999999996</v>
      </c>
      <c r="BW77" s="4"/>
      <c r="BX77" s="4"/>
      <c r="BY77" s="4"/>
      <c r="BZ77" s="4">
        <v>17755</v>
      </c>
      <c r="CA77" s="4">
        <v>17755</v>
      </c>
      <c r="CB77" s="4">
        <v>17755</v>
      </c>
      <c r="CC77" s="4">
        <v>1464542.7499999998</v>
      </c>
      <c r="CD77" s="1"/>
      <c r="CE77" s="1"/>
    </row>
    <row r="78" spans="4:83">
      <c r="D78" s="2">
        <v>42051</v>
      </c>
      <c r="E78" s="11">
        <f t="shared" si="30"/>
        <v>1850756.86</v>
      </c>
      <c r="F78" s="4">
        <f t="shared" si="31"/>
        <v>873427.3</v>
      </c>
      <c r="G78" s="4">
        <f t="shared" si="24"/>
        <v>0.47192979200952412</v>
      </c>
      <c r="H78" s="4">
        <f t="shared" si="42"/>
        <v>-42928.840000000004</v>
      </c>
      <c r="I78" s="4">
        <f t="shared" si="43"/>
        <v>-35409.57</v>
      </c>
      <c r="J78" s="4">
        <f t="shared" si="32"/>
        <v>-78338.41</v>
      </c>
      <c r="K78" s="4">
        <f t="shared" si="33"/>
        <v>265302.77999999997</v>
      </c>
      <c r="L78" s="4">
        <f t="shared" si="34"/>
        <v>186964.36999999997</v>
      </c>
      <c r="M78" s="4">
        <f t="shared" si="27"/>
        <v>0.10102049277288641</v>
      </c>
      <c r="N78" s="4">
        <f t="shared" si="35"/>
        <v>488645.85000000003</v>
      </c>
      <c r="O78" s="4">
        <f t="shared" si="28"/>
        <v>0.26402487574731992</v>
      </c>
      <c r="P78" s="4">
        <f t="shared" si="36"/>
        <v>1362073.1500000001</v>
      </c>
      <c r="Q78" s="4">
        <f t="shared" si="29"/>
        <v>0.73595466775684415</v>
      </c>
      <c r="R78" s="4">
        <v>74</v>
      </c>
      <c r="S78" s="4">
        <f t="shared" si="37"/>
        <v>1385450.6377848228</v>
      </c>
      <c r="T78" s="4">
        <f t="shared" si="38"/>
        <v>0.74858597999999998</v>
      </c>
      <c r="U78" s="11">
        <f t="shared" si="39"/>
        <v>301719.34000000008</v>
      </c>
      <c r="V78" s="11">
        <f t="shared" si="40"/>
        <v>0.16302483947026952</v>
      </c>
      <c r="W78" s="11">
        <f t="shared" si="41"/>
        <v>0.25141402000000002</v>
      </c>
      <c r="Y78" s="3">
        <v>42051</v>
      </c>
      <c r="Z78" s="4"/>
      <c r="AA78" s="45">
        <v>52686.87</v>
      </c>
      <c r="AB78" s="4">
        <v>9758.0300000000007</v>
      </c>
      <c r="AC78" s="4">
        <v>9758.0300000000007</v>
      </c>
      <c r="AD78" s="4">
        <v>135820.07999999999</v>
      </c>
      <c r="AE78" s="4">
        <v>135820.07999999999</v>
      </c>
      <c r="AF78" s="4">
        <v>145578.10999999999</v>
      </c>
      <c r="AG78" s="4"/>
      <c r="AH78" s="4"/>
      <c r="AI78" s="4">
        <v>373710.91</v>
      </c>
      <c r="AJ78" s="4">
        <v>373710.91</v>
      </c>
      <c r="AK78" s="4"/>
      <c r="AL78" s="4"/>
      <c r="AM78" s="4">
        <v>280412.34999999998</v>
      </c>
      <c r="AN78" s="4">
        <v>280412.34999999998</v>
      </c>
      <c r="AO78" s="4"/>
      <c r="AP78" s="4"/>
      <c r="AQ78" s="4">
        <v>133586.6</v>
      </c>
      <c r="AR78" s="4">
        <v>133586.6</v>
      </c>
      <c r="AS78" s="4"/>
      <c r="AT78" s="4"/>
      <c r="AU78" s="4"/>
      <c r="AV78" s="4"/>
      <c r="AW78" s="4"/>
      <c r="AX78" s="4">
        <v>85717.440000000002</v>
      </c>
      <c r="AY78" s="4">
        <v>85717.440000000002</v>
      </c>
      <c r="AZ78" s="4"/>
      <c r="BA78" s="4"/>
      <c r="BB78" s="4"/>
      <c r="BC78" s="4">
        <v>873427.3</v>
      </c>
      <c r="BD78" s="4"/>
      <c r="BE78" s="45">
        <v>40236.720000000001</v>
      </c>
      <c r="BF78" s="4">
        <v>4827.1499999999996</v>
      </c>
      <c r="BG78" s="4">
        <v>4827.1499999999996</v>
      </c>
      <c r="BH78" s="4"/>
      <c r="BI78" s="4">
        <v>129482.7</v>
      </c>
      <c r="BJ78" s="4">
        <v>129482.7</v>
      </c>
      <c r="BK78" s="4">
        <v>134309.85</v>
      </c>
      <c r="BL78" s="4">
        <v>27218.33</v>
      </c>
      <c r="BM78" s="4">
        <v>27218.33</v>
      </c>
      <c r="BN78" s="4"/>
      <c r="BO78" s="4">
        <v>181941.57</v>
      </c>
      <c r="BP78" s="4">
        <v>181941.57</v>
      </c>
      <c r="BQ78" s="4">
        <v>209159.90000000002</v>
      </c>
      <c r="BR78" s="4">
        <v>20551.37</v>
      </c>
      <c r="BS78" s="4">
        <v>20551.37</v>
      </c>
      <c r="BT78" s="4">
        <v>130670.06</v>
      </c>
      <c r="BU78" s="4">
        <v>130670.06</v>
      </c>
      <c r="BV78" s="4">
        <v>151221.43</v>
      </c>
      <c r="BW78" s="4"/>
      <c r="BX78" s="4"/>
      <c r="BY78" s="4"/>
      <c r="BZ78" s="4">
        <v>128264.52</v>
      </c>
      <c r="CA78" s="4">
        <v>128264.52</v>
      </c>
      <c r="CB78" s="4">
        <v>128264.52</v>
      </c>
      <c r="CC78" s="4">
        <v>1850756.86</v>
      </c>
      <c r="CD78" s="1"/>
      <c r="CE78" s="1"/>
    </row>
    <row r="79" spans="4:83">
      <c r="D79" s="2">
        <v>42058</v>
      </c>
      <c r="E79" s="11">
        <f t="shared" si="30"/>
        <v>1618490.5799999998</v>
      </c>
      <c r="F79" s="4">
        <f t="shared" si="31"/>
        <v>965705.85000000009</v>
      </c>
      <c r="G79" s="4">
        <f t="shared" si="24"/>
        <v>0.59667066458922502</v>
      </c>
      <c r="H79" s="4">
        <f t="shared" si="42"/>
        <v>-46098.92</v>
      </c>
      <c r="I79" s="4">
        <f t="shared" si="43"/>
        <v>-36151.25</v>
      </c>
      <c r="J79" s="4">
        <f t="shared" si="32"/>
        <v>-82250.17</v>
      </c>
      <c r="K79" s="4">
        <f t="shared" si="33"/>
        <v>152993.39000000001</v>
      </c>
      <c r="L79" s="4">
        <f t="shared" si="34"/>
        <v>70743.220000000016</v>
      </c>
      <c r="M79" s="4">
        <f t="shared" si="27"/>
        <v>4.3709380131208439E-2</v>
      </c>
      <c r="N79" s="4">
        <f t="shared" si="35"/>
        <v>249235.94999999998</v>
      </c>
      <c r="O79" s="4">
        <f t="shared" si="28"/>
        <v>0.15399283324837146</v>
      </c>
      <c r="P79" s="4">
        <f t="shared" si="36"/>
        <v>1214941.8</v>
      </c>
      <c r="Q79" s="4">
        <f t="shared" si="29"/>
        <v>0.75066349783759645</v>
      </c>
      <c r="R79" s="4">
        <v>75</v>
      </c>
      <c r="S79" s="4">
        <f t="shared" si="37"/>
        <v>1212128.4622491449</v>
      </c>
      <c r="T79" s="4">
        <f t="shared" si="38"/>
        <v>0.74892524999999999</v>
      </c>
      <c r="U79" s="11">
        <f t="shared" si="39"/>
        <v>332805.55999999982</v>
      </c>
      <c r="V79" s="11">
        <f t="shared" si="40"/>
        <v>0.20562712203119518</v>
      </c>
      <c r="W79" s="11">
        <f t="shared" si="41"/>
        <v>0.25107475000000001</v>
      </c>
      <c r="Y79" s="3">
        <v>42058</v>
      </c>
      <c r="Z79" s="4"/>
      <c r="AA79" s="45">
        <v>55244.85</v>
      </c>
      <c r="AB79" s="4">
        <v>9145.93</v>
      </c>
      <c r="AC79" s="4">
        <v>9145.93</v>
      </c>
      <c r="AD79" s="4">
        <v>89896.22</v>
      </c>
      <c r="AE79" s="4">
        <v>89896.22</v>
      </c>
      <c r="AF79" s="4">
        <v>99042.15</v>
      </c>
      <c r="AG79" s="4"/>
      <c r="AH79" s="4"/>
      <c r="AI79" s="4">
        <v>431823.77</v>
      </c>
      <c r="AJ79" s="4">
        <v>431823.77</v>
      </c>
      <c r="AK79" s="4"/>
      <c r="AL79" s="4"/>
      <c r="AM79" s="4">
        <v>287018.39</v>
      </c>
      <c r="AN79" s="4">
        <v>287018.39</v>
      </c>
      <c r="AO79" s="4"/>
      <c r="AP79" s="4"/>
      <c r="AQ79" s="4">
        <v>149562.62</v>
      </c>
      <c r="AR79" s="4">
        <v>149562.62</v>
      </c>
      <c r="AS79" s="4"/>
      <c r="AT79" s="4"/>
      <c r="AU79" s="4"/>
      <c r="AV79" s="4"/>
      <c r="AW79" s="4"/>
      <c r="AX79" s="4">
        <v>97301.07</v>
      </c>
      <c r="AY79" s="4">
        <v>97301.07</v>
      </c>
      <c r="AZ79" s="4"/>
      <c r="BA79" s="4"/>
      <c r="BB79" s="4"/>
      <c r="BC79" s="4">
        <v>965705.85000000009</v>
      </c>
      <c r="BD79" s="4"/>
      <c r="BE79" s="45">
        <v>42214.22</v>
      </c>
      <c r="BF79" s="4">
        <v>6062.97</v>
      </c>
      <c r="BG79" s="4">
        <v>6062.97</v>
      </c>
      <c r="BH79" s="4"/>
      <c r="BI79" s="4">
        <v>63097.17</v>
      </c>
      <c r="BJ79" s="4">
        <v>63097.17</v>
      </c>
      <c r="BK79" s="4">
        <v>69160.14</v>
      </c>
      <c r="BL79" s="4">
        <v>15873.63</v>
      </c>
      <c r="BM79" s="4">
        <v>15873.63</v>
      </c>
      <c r="BN79" s="4"/>
      <c r="BO79" s="4">
        <v>105116.78</v>
      </c>
      <c r="BP79" s="4">
        <v>105116.78</v>
      </c>
      <c r="BQ79" s="4">
        <v>120990.41</v>
      </c>
      <c r="BR79" s="4">
        <v>10292.18</v>
      </c>
      <c r="BS79" s="4">
        <v>10292.18</v>
      </c>
      <c r="BT79" s="4">
        <v>59909.27</v>
      </c>
      <c r="BU79" s="4">
        <v>59909.27</v>
      </c>
      <c r="BV79" s="4">
        <v>70201.45</v>
      </c>
      <c r="BW79" s="4"/>
      <c r="BX79" s="4"/>
      <c r="BY79" s="4"/>
      <c r="BZ79" s="4">
        <v>58044.09</v>
      </c>
      <c r="CA79" s="4">
        <v>58044.09</v>
      </c>
      <c r="CB79" s="4">
        <v>58044.09</v>
      </c>
      <c r="CC79" s="4">
        <v>1618490.5799999998</v>
      </c>
      <c r="CD79" s="1"/>
      <c r="CE79" s="1"/>
    </row>
    <row r="80" spans="4:83">
      <c r="D80" s="2">
        <v>42065</v>
      </c>
      <c r="E80" s="11">
        <f t="shared" si="30"/>
        <v>1712347.07</v>
      </c>
      <c r="F80" s="4">
        <f t="shared" si="31"/>
        <v>1042441.4500000001</v>
      </c>
      <c r="G80" s="4">
        <f t="shared" si="24"/>
        <v>0.60877929963111976</v>
      </c>
      <c r="H80" s="4">
        <f t="shared" si="42"/>
        <v>-50255.509999999995</v>
      </c>
      <c r="I80" s="4">
        <f t="shared" si="43"/>
        <v>-39544.369999999995</v>
      </c>
      <c r="J80" s="4">
        <f t="shared" si="32"/>
        <v>-89799.87999999999</v>
      </c>
      <c r="K80" s="4">
        <f t="shared" si="33"/>
        <v>191225.03</v>
      </c>
      <c r="L80" s="4">
        <f t="shared" si="34"/>
        <v>101425.15000000001</v>
      </c>
      <c r="M80" s="4">
        <f t="shared" si="27"/>
        <v>5.9231654479953065E-2</v>
      </c>
      <c r="N80" s="4">
        <f t="shared" si="35"/>
        <v>209915.65</v>
      </c>
      <c r="O80" s="4">
        <f t="shared" si="28"/>
        <v>0.1225894292563014</v>
      </c>
      <c r="P80" s="4">
        <f t="shared" si="36"/>
        <v>1252357.1000000001</v>
      </c>
      <c r="Q80" s="4">
        <f t="shared" si="29"/>
        <v>0.73136872888742122</v>
      </c>
      <c r="R80" s="4">
        <v>76</v>
      </c>
      <c r="S80" s="4">
        <f t="shared" si="37"/>
        <v>1283000.9054769564</v>
      </c>
      <c r="T80" s="4">
        <f t="shared" si="38"/>
        <v>0.74926451999999999</v>
      </c>
      <c r="U80" s="11">
        <f t="shared" si="39"/>
        <v>358564.82000000007</v>
      </c>
      <c r="V80" s="11">
        <f t="shared" si="40"/>
        <v>0.2093996166326258</v>
      </c>
      <c r="W80" s="11">
        <f t="shared" si="41"/>
        <v>0.25073548000000001</v>
      </c>
      <c r="Y80" s="3">
        <v>42065</v>
      </c>
      <c r="Z80" s="4"/>
      <c r="AA80" s="45">
        <v>60046.34</v>
      </c>
      <c r="AB80" s="4">
        <v>9790.83</v>
      </c>
      <c r="AC80" s="4">
        <v>9790.83</v>
      </c>
      <c r="AD80" s="4">
        <v>132269.38</v>
      </c>
      <c r="AE80" s="4">
        <v>132269.38</v>
      </c>
      <c r="AF80" s="4">
        <v>142060.21</v>
      </c>
      <c r="AG80" s="4"/>
      <c r="AH80" s="4"/>
      <c r="AI80" s="4">
        <v>415093.58</v>
      </c>
      <c r="AJ80" s="4">
        <v>415093.58</v>
      </c>
      <c r="AK80" s="4"/>
      <c r="AL80" s="4"/>
      <c r="AM80" s="4">
        <v>367863.23</v>
      </c>
      <c r="AN80" s="4">
        <v>367863.23</v>
      </c>
      <c r="AO80" s="4"/>
      <c r="AP80" s="4"/>
      <c r="AQ80" s="4">
        <v>156295.89000000001</v>
      </c>
      <c r="AR80" s="4">
        <v>156295.89000000001</v>
      </c>
      <c r="AS80" s="4"/>
      <c r="AT80" s="4"/>
      <c r="AU80" s="4"/>
      <c r="AV80" s="4"/>
      <c r="AW80" s="4"/>
      <c r="AX80" s="4">
        <v>103188.75</v>
      </c>
      <c r="AY80" s="4">
        <v>103188.75</v>
      </c>
      <c r="AZ80" s="4"/>
      <c r="BA80" s="4"/>
      <c r="BB80" s="4"/>
      <c r="BC80" s="4">
        <v>1042441.4500000001</v>
      </c>
      <c r="BD80" s="4"/>
      <c r="BE80" s="45">
        <v>46726.27</v>
      </c>
      <c r="BF80" s="4">
        <v>7181.9</v>
      </c>
      <c r="BG80" s="4">
        <v>7181.9</v>
      </c>
      <c r="BH80" s="4"/>
      <c r="BI80" s="4">
        <v>58955.65</v>
      </c>
      <c r="BJ80" s="4">
        <v>58955.65</v>
      </c>
      <c r="BK80" s="4">
        <v>66137.55</v>
      </c>
      <c r="BL80" s="4">
        <v>12337.94</v>
      </c>
      <c r="BM80" s="4">
        <v>12337.94</v>
      </c>
      <c r="BN80" s="4"/>
      <c r="BO80" s="4">
        <v>97887.83</v>
      </c>
      <c r="BP80" s="4">
        <v>97887.83</v>
      </c>
      <c r="BQ80" s="4">
        <v>110225.77</v>
      </c>
      <c r="BR80" s="4">
        <v>7121.99</v>
      </c>
      <c r="BS80" s="4">
        <v>7121.99</v>
      </c>
      <c r="BT80" s="4">
        <v>46760.86</v>
      </c>
      <c r="BU80" s="4">
        <v>46760.86</v>
      </c>
      <c r="BV80" s="4">
        <v>53882.85</v>
      </c>
      <c r="BW80" s="4"/>
      <c r="BX80" s="4"/>
      <c r="BY80" s="4"/>
      <c r="BZ80" s="4">
        <v>45807.03</v>
      </c>
      <c r="CA80" s="4">
        <v>45807.03</v>
      </c>
      <c r="CB80" s="4">
        <v>45807.03</v>
      </c>
      <c r="CC80" s="4">
        <v>1712347.07</v>
      </c>
      <c r="CD80" s="1"/>
      <c r="CE80" s="1"/>
    </row>
    <row r="81" spans="4:83">
      <c r="D81" s="2">
        <v>42072</v>
      </c>
      <c r="E81" s="11">
        <f t="shared" si="30"/>
        <v>1799559.8299999998</v>
      </c>
      <c r="F81" s="4">
        <f t="shared" si="31"/>
        <v>1173773.6800000002</v>
      </c>
      <c r="G81" s="4">
        <f t="shared" si="24"/>
        <v>0.65225599084416119</v>
      </c>
      <c r="H81" s="4">
        <f t="shared" si="42"/>
        <v>-51007.9</v>
      </c>
      <c r="I81" s="4">
        <f t="shared" si="43"/>
        <v>-39141.94</v>
      </c>
      <c r="J81" s="4">
        <f t="shared" si="32"/>
        <v>-90149.84</v>
      </c>
      <c r="K81" s="4">
        <f t="shared" si="33"/>
        <v>144426.6</v>
      </c>
      <c r="L81" s="4">
        <f t="shared" si="34"/>
        <v>54276.760000000009</v>
      </c>
      <c r="M81" s="4">
        <f t="shared" si="27"/>
        <v>3.0161131125048514E-2</v>
      </c>
      <c r="N81" s="4">
        <f t="shared" si="35"/>
        <v>193378.34</v>
      </c>
      <c r="O81" s="4">
        <f t="shared" si="28"/>
        <v>0.10745868893950584</v>
      </c>
      <c r="P81" s="4">
        <f t="shared" si="36"/>
        <v>1367152.0200000003</v>
      </c>
      <c r="Q81" s="4">
        <f t="shared" si="29"/>
        <v>0.75971467978366714</v>
      </c>
      <c r="R81" s="4">
        <v>77</v>
      </c>
      <c r="S81" s="4">
        <f t="shared" si="37"/>
        <v>1348956.8688997556</v>
      </c>
      <c r="T81" s="4">
        <f t="shared" si="38"/>
        <v>0.74960378999999999</v>
      </c>
      <c r="U81" s="11">
        <f t="shared" si="39"/>
        <v>378131.04999999958</v>
      </c>
      <c r="V81" s="11">
        <f t="shared" si="40"/>
        <v>0.21012418909128441</v>
      </c>
      <c r="W81" s="11">
        <f t="shared" si="41"/>
        <v>0.25039621000000001</v>
      </c>
      <c r="Y81" s="3">
        <v>42072</v>
      </c>
      <c r="Z81" s="4"/>
      <c r="AA81" s="45">
        <v>61376.14</v>
      </c>
      <c r="AB81" s="4">
        <v>10368.24</v>
      </c>
      <c r="AC81" s="4">
        <v>10368.24</v>
      </c>
      <c r="AD81" s="4">
        <v>89626.37</v>
      </c>
      <c r="AE81" s="4">
        <v>89626.37</v>
      </c>
      <c r="AF81" s="4">
        <v>99994.61</v>
      </c>
      <c r="AG81" s="4"/>
      <c r="AH81" s="4"/>
      <c r="AI81" s="4">
        <v>469365.83</v>
      </c>
      <c r="AJ81" s="4">
        <v>469365.83</v>
      </c>
      <c r="AK81" s="4"/>
      <c r="AL81" s="4"/>
      <c r="AM81" s="4">
        <v>422856.76</v>
      </c>
      <c r="AN81" s="4">
        <v>422856.76</v>
      </c>
      <c r="AO81" s="4"/>
      <c r="AP81" s="4"/>
      <c r="AQ81" s="4">
        <v>170540.05</v>
      </c>
      <c r="AR81" s="4">
        <v>170540.05</v>
      </c>
      <c r="AS81" s="4"/>
      <c r="AT81" s="4"/>
      <c r="AU81" s="4"/>
      <c r="AV81" s="4"/>
      <c r="AW81" s="4"/>
      <c r="AX81" s="4">
        <v>111011.04</v>
      </c>
      <c r="AY81" s="4">
        <v>111011.04</v>
      </c>
      <c r="AZ81" s="4"/>
      <c r="BA81" s="4"/>
      <c r="BB81" s="4"/>
      <c r="BC81" s="4">
        <v>1173773.6800000002</v>
      </c>
      <c r="BD81" s="4"/>
      <c r="BE81" s="45">
        <v>47050.87</v>
      </c>
      <c r="BF81" s="4">
        <v>7908.93</v>
      </c>
      <c r="BG81" s="4">
        <v>7908.93</v>
      </c>
      <c r="BH81" s="4"/>
      <c r="BI81" s="4">
        <v>54800.23</v>
      </c>
      <c r="BJ81" s="4">
        <v>54800.23</v>
      </c>
      <c r="BK81" s="4">
        <v>62709.16</v>
      </c>
      <c r="BL81" s="4">
        <v>12368.87</v>
      </c>
      <c r="BM81" s="4">
        <v>12368.87</v>
      </c>
      <c r="BN81" s="4"/>
      <c r="BO81" s="4">
        <v>95126.37</v>
      </c>
      <c r="BP81" s="4">
        <v>95126.37</v>
      </c>
      <c r="BQ81" s="4">
        <v>107495.23999999999</v>
      </c>
      <c r="BR81" s="4">
        <v>6264.48</v>
      </c>
      <c r="BS81" s="4">
        <v>6264.48</v>
      </c>
      <c r="BT81" s="4">
        <v>39632.1</v>
      </c>
      <c r="BU81" s="4">
        <v>39632.1</v>
      </c>
      <c r="BV81" s="4">
        <v>45896.58</v>
      </c>
      <c r="BW81" s="4"/>
      <c r="BX81" s="4"/>
      <c r="BY81" s="4"/>
      <c r="BZ81" s="4">
        <v>39986.519999999997</v>
      </c>
      <c r="CA81" s="4">
        <v>39986.519999999997</v>
      </c>
      <c r="CB81" s="4">
        <v>39986.519999999997</v>
      </c>
      <c r="CC81" s="4">
        <v>1799559.8299999998</v>
      </c>
      <c r="CD81" s="1"/>
      <c r="CE81" s="1"/>
    </row>
    <row r="82" spans="4:83">
      <c r="D82" s="2">
        <v>42079</v>
      </c>
      <c r="E82" s="11">
        <f t="shared" si="30"/>
        <v>1717818.8100000003</v>
      </c>
      <c r="F82" s="4">
        <f t="shared" si="31"/>
        <v>1135782.1300000001</v>
      </c>
      <c r="G82" s="4">
        <f t="shared" si="24"/>
        <v>0.66117690840747045</v>
      </c>
      <c r="H82" s="4">
        <f t="shared" si="42"/>
        <v>-50271.97</v>
      </c>
      <c r="I82" s="4">
        <f t="shared" si="43"/>
        <v>-38849.29</v>
      </c>
      <c r="J82" s="4">
        <f t="shared" si="32"/>
        <v>-89121.260000000009</v>
      </c>
      <c r="K82" s="4">
        <f t="shared" si="33"/>
        <v>125726.15</v>
      </c>
      <c r="L82" s="4">
        <f t="shared" si="34"/>
        <v>36604.889999999985</v>
      </c>
      <c r="M82" s="4">
        <f t="shared" si="27"/>
        <v>2.1308935370197731E-2</v>
      </c>
      <c r="N82" s="4">
        <f t="shared" si="35"/>
        <v>169402.01</v>
      </c>
      <c r="O82" s="4">
        <f t="shared" si="28"/>
        <v>9.8614597193751749E-2</v>
      </c>
      <c r="P82" s="4">
        <f t="shared" si="36"/>
        <v>1305184.1400000001</v>
      </c>
      <c r="Q82" s="4">
        <f t="shared" si="29"/>
        <v>0.75979150560122222</v>
      </c>
      <c r="R82" s="4">
        <v>78</v>
      </c>
      <c r="S82" s="4">
        <f t="shared" si="37"/>
        <v>1288266.2948969589</v>
      </c>
      <c r="T82" s="4">
        <f t="shared" si="38"/>
        <v>0.74994305999999999</v>
      </c>
      <c r="U82" s="11">
        <f t="shared" si="39"/>
        <v>376029.78000000026</v>
      </c>
      <c r="V82" s="11">
        <f t="shared" si="40"/>
        <v>0.21889955902858008</v>
      </c>
      <c r="W82" s="11">
        <f t="shared" si="41"/>
        <v>0.25005694000000001</v>
      </c>
      <c r="Y82" s="3">
        <v>42079</v>
      </c>
      <c r="Z82" s="4"/>
      <c r="AA82" s="45">
        <v>60153.54</v>
      </c>
      <c r="AB82" s="4">
        <v>9881.57</v>
      </c>
      <c r="AC82" s="4">
        <v>9881.57</v>
      </c>
      <c r="AD82" s="4">
        <v>73995.37</v>
      </c>
      <c r="AE82" s="4">
        <v>73995.37</v>
      </c>
      <c r="AF82" s="4">
        <v>83876.94</v>
      </c>
      <c r="AG82" s="4"/>
      <c r="AH82" s="4"/>
      <c r="AI82" s="4">
        <v>451773.66</v>
      </c>
      <c r="AJ82" s="4">
        <v>451773.66</v>
      </c>
      <c r="AK82" s="4"/>
      <c r="AL82" s="4"/>
      <c r="AM82" s="4">
        <v>398419.88</v>
      </c>
      <c r="AN82" s="4">
        <v>398419.88</v>
      </c>
      <c r="AO82" s="4"/>
      <c r="AP82" s="4"/>
      <c r="AQ82" s="4">
        <v>173664</v>
      </c>
      <c r="AR82" s="4">
        <v>173664</v>
      </c>
      <c r="AS82" s="4"/>
      <c r="AT82" s="4"/>
      <c r="AU82" s="4"/>
      <c r="AV82" s="4"/>
      <c r="AW82" s="4"/>
      <c r="AX82" s="4">
        <v>111924.59</v>
      </c>
      <c r="AY82" s="4">
        <v>111924.59</v>
      </c>
      <c r="AZ82" s="4"/>
      <c r="BA82" s="4"/>
      <c r="BB82" s="4"/>
      <c r="BC82" s="4">
        <v>1135782.1300000001</v>
      </c>
      <c r="BD82" s="4"/>
      <c r="BE82" s="45">
        <v>45974.75</v>
      </c>
      <c r="BF82" s="4">
        <v>7125.46</v>
      </c>
      <c r="BG82" s="4">
        <v>7125.46</v>
      </c>
      <c r="BH82" s="4"/>
      <c r="BI82" s="4">
        <v>51730.78</v>
      </c>
      <c r="BJ82" s="4">
        <v>51730.78</v>
      </c>
      <c r="BK82" s="4">
        <v>58856.24</v>
      </c>
      <c r="BL82" s="4">
        <v>11360.39</v>
      </c>
      <c r="BM82" s="4">
        <v>11360.39</v>
      </c>
      <c r="BN82" s="4"/>
      <c r="BO82" s="4">
        <v>88604.77</v>
      </c>
      <c r="BP82" s="4">
        <v>88604.77</v>
      </c>
      <c r="BQ82" s="4">
        <v>99965.16</v>
      </c>
      <c r="BR82" s="4">
        <v>5460.43</v>
      </c>
      <c r="BS82" s="4">
        <v>5460.43</v>
      </c>
      <c r="BT82" s="4">
        <v>31813.42</v>
      </c>
      <c r="BU82" s="4">
        <v>31813.42</v>
      </c>
      <c r="BV82" s="4">
        <v>37273.85</v>
      </c>
      <c r="BW82" s="4"/>
      <c r="BX82" s="4"/>
      <c r="BY82" s="4"/>
      <c r="BZ82" s="4">
        <v>32163</v>
      </c>
      <c r="CA82" s="4">
        <v>32163</v>
      </c>
      <c r="CB82" s="4">
        <v>32163</v>
      </c>
      <c r="CC82" s="4">
        <v>1717818.8100000003</v>
      </c>
      <c r="CD82" s="1"/>
      <c r="CE82" s="1"/>
    </row>
    <row r="83" spans="4:83">
      <c r="D83" s="2">
        <v>42086</v>
      </c>
      <c r="E83" s="11">
        <f t="shared" si="30"/>
        <v>1704941.4600000002</v>
      </c>
      <c r="F83" s="4">
        <f t="shared" si="31"/>
        <v>1157409.42</v>
      </c>
      <c r="G83" s="4">
        <f t="shared" si="24"/>
        <v>0.67885581244531401</v>
      </c>
      <c r="H83" s="4">
        <f t="shared" si="42"/>
        <v>-54259.9</v>
      </c>
      <c r="I83" s="4">
        <f t="shared" si="43"/>
        <v>-41451.599999999999</v>
      </c>
      <c r="J83" s="4">
        <f t="shared" si="32"/>
        <v>-95711.5</v>
      </c>
      <c r="K83" s="4">
        <f t="shared" si="33"/>
        <v>115326.65</v>
      </c>
      <c r="L83" s="4">
        <f t="shared" si="34"/>
        <v>19615.149999999994</v>
      </c>
      <c r="M83" s="4">
        <f t="shared" si="27"/>
        <v>1.1504881815707614E-2</v>
      </c>
      <c r="N83" s="4">
        <f t="shared" si="35"/>
        <v>147839.53999999998</v>
      </c>
      <c r="O83" s="4">
        <f t="shared" si="28"/>
        <v>8.6712384834608899E-2</v>
      </c>
      <c r="P83" s="4">
        <f t="shared" si="36"/>
        <v>1305248.96</v>
      </c>
      <c r="Q83" s="4">
        <f t="shared" si="29"/>
        <v>0.76556819727992287</v>
      </c>
      <c r="R83" s="4">
        <v>79</v>
      </c>
      <c r="S83" s="4">
        <f t="shared" si="37"/>
        <v>1279187.451122402</v>
      </c>
      <c r="T83" s="4">
        <f t="shared" si="38"/>
        <v>0.75028233</v>
      </c>
      <c r="U83" s="11">
        <f t="shared" si="39"/>
        <v>380077.35000000033</v>
      </c>
      <c r="V83" s="11">
        <f t="shared" si="40"/>
        <v>0.22292692090436952</v>
      </c>
      <c r="W83" s="11">
        <f t="shared" si="41"/>
        <v>0.24971767</v>
      </c>
      <c r="Y83" s="3">
        <v>42086</v>
      </c>
      <c r="Z83" s="4"/>
      <c r="AA83" s="45">
        <v>63454.75</v>
      </c>
      <c r="AB83" s="4">
        <v>9194.85</v>
      </c>
      <c r="AC83" s="4">
        <v>9194.85</v>
      </c>
      <c r="AD83" s="4">
        <v>67043.39</v>
      </c>
      <c r="AE83" s="4">
        <v>67043.39</v>
      </c>
      <c r="AF83" s="4">
        <v>76238.240000000005</v>
      </c>
      <c r="AG83" s="4"/>
      <c r="AH83" s="4"/>
      <c r="AI83" s="4">
        <v>444926.33</v>
      </c>
      <c r="AJ83" s="4">
        <v>444926.33</v>
      </c>
      <c r="AK83" s="4"/>
      <c r="AL83" s="4"/>
      <c r="AM83" s="4">
        <v>428595.13</v>
      </c>
      <c r="AN83" s="4">
        <v>428595.13</v>
      </c>
      <c r="AO83" s="4"/>
      <c r="AP83" s="4"/>
      <c r="AQ83" s="4">
        <v>172874.47</v>
      </c>
      <c r="AR83" s="4">
        <v>172874.47</v>
      </c>
      <c r="AS83" s="4"/>
      <c r="AT83" s="4"/>
      <c r="AU83" s="4"/>
      <c r="AV83" s="4"/>
      <c r="AW83" s="4"/>
      <c r="AX83" s="4">
        <v>111013.49</v>
      </c>
      <c r="AY83" s="4">
        <v>111013.49</v>
      </c>
      <c r="AZ83" s="4"/>
      <c r="BA83" s="4"/>
      <c r="BB83" s="4"/>
      <c r="BC83" s="4">
        <v>1157409.42</v>
      </c>
      <c r="BD83" s="4"/>
      <c r="BE83" s="45">
        <v>48342.400000000001</v>
      </c>
      <c r="BF83" s="4">
        <v>6890.8</v>
      </c>
      <c r="BG83" s="4">
        <v>6890.8</v>
      </c>
      <c r="BH83" s="4"/>
      <c r="BI83" s="4">
        <v>48283.26</v>
      </c>
      <c r="BJ83" s="4">
        <v>48283.26</v>
      </c>
      <c r="BK83" s="4">
        <v>55174.060000000005</v>
      </c>
      <c r="BL83" s="4">
        <v>9489.84</v>
      </c>
      <c r="BM83" s="4">
        <v>9489.84</v>
      </c>
      <c r="BN83" s="4"/>
      <c r="BO83" s="4">
        <v>80219.12</v>
      </c>
      <c r="BP83" s="4">
        <v>80219.12</v>
      </c>
      <c r="BQ83" s="4">
        <v>89708.959999999992</v>
      </c>
      <c r="BR83" s="4">
        <v>3945.78</v>
      </c>
      <c r="BS83" s="4">
        <v>3945.78</v>
      </c>
      <c r="BT83" s="4">
        <v>26474.080000000002</v>
      </c>
      <c r="BU83" s="4">
        <v>26474.080000000002</v>
      </c>
      <c r="BV83" s="4">
        <v>30419.86</v>
      </c>
      <c r="BW83" s="4"/>
      <c r="BX83" s="4"/>
      <c r="BY83" s="4"/>
      <c r="BZ83" s="4">
        <v>27710.720000000001</v>
      </c>
      <c r="CA83" s="4">
        <v>27710.720000000001</v>
      </c>
      <c r="CB83" s="4">
        <v>27710.720000000001</v>
      </c>
      <c r="CC83" s="4">
        <v>1704941.4600000002</v>
      </c>
      <c r="CD83" s="1"/>
      <c r="CE83" s="1"/>
    </row>
    <row r="84" spans="4:83">
      <c r="D84" s="2">
        <v>42093</v>
      </c>
      <c r="E84" s="11">
        <f t="shared" si="30"/>
        <v>1668510.0999999994</v>
      </c>
      <c r="F84" s="4">
        <f t="shared" si="31"/>
        <v>1122502.29</v>
      </c>
      <c r="G84" s="4">
        <f t="shared" si="24"/>
        <v>0.67275726410046932</v>
      </c>
      <c r="H84" s="4">
        <f t="shared" si="42"/>
        <v>-44891.600000000006</v>
      </c>
      <c r="I84" s="4">
        <f t="shared" si="43"/>
        <v>-33771.919999999998</v>
      </c>
      <c r="J84" s="4">
        <f t="shared" si="32"/>
        <v>-78663.520000000004</v>
      </c>
      <c r="K84" s="4">
        <f t="shared" si="33"/>
        <v>112857.9</v>
      </c>
      <c r="L84" s="4">
        <f t="shared" si="34"/>
        <v>34194.37999999999</v>
      </c>
      <c r="M84" s="4">
        <f t="shared" si="27"/>
        <v>2.049396045010456E-2</v>
      </c>
      <c r="N84" s="4">
        <f t="shared" si="35"/>
        <v>137679.45000000001</v>
      </c>
      <c r="O84" s="4">
        <f t="shared" si="28"/>
        <v>8.2516401908505121E-2</v>
      </c>
      <c r="P84" s="4">
        <f t="shared" si="36"/>
        <v>1260181.74</v>
      </c>
      <c r="Q84" s="4">
        <f t="shared" si="29"/>
        <v>0.75527366600897439</v>
      </c>
      <c r="R84" s="4">
        <v>80</v>
      </c>
      <c r="S84" s="4">
        <f t="shared" si="37"/>
        <v>1252419.7208781596</v>
      </c>
      <c r="T84" s="4">
        <f t="shared" si="38"/>
        <v>0.7506216</v>
      </c>
      <c r="U84" s="11">
        <f t="shared" si="39"/>
        <v>374133.97999999952</v>
      </c>
      <c r="V84" s="11">
        <f t="shared" si="40"/>
        <v>0.22423237354092113</v>
      </c>
      <c r="W84" s="11">
        <f t="shared" si="41"/>
        <v>0.2493784</v>
      </c>
      <c r="Y84" s="3">
        <v>42093</v>
      </c>
      <c r="Z84" s="4"/>
      <c r="AA84" s="45">
        <v>54254.9</v>
      </c>
      <c r="AB84" s="4">
        <v>9363.2999999999993</v>
      </c>
      <c r="AC84" s="4">
        <v>9363.2999999999993</v>
      </c>
      <c r="AD84" s="4">
        <v>66281.679999999993</v>
      </c>
      <c r="AE84" s="4">
        <v>66281.679999999993</v>
      </c>
      <c r="AF84" s="4">
        <v>75644.98</v>
      </c>
      <c r="AG84" s="4"/>
      <c r="AH84" s="4"/>
      <c r="AI84" s="4">
        <v>446383.3</v>
      </c>
      <c r="AJ84" s="4">
        <v>446383.3</v>
      </c>
      <c r="AK84" s="4"/>
      <c r="AL84" s="4"/>
      <c r="AM84" s="4">
        <v>400517.67</v>
      </c>
      <c r="AN84" s="4">
        <v>400517.67</v>
      </c>
      <c r="AO84" s="4"/>
      <c r="AP84" s="4"/>
      <c r="AQ84" s="4">
        <v>169027.36</v>
      </c>
      <c r="AR84" s="4">
        <v>169027.36</v>
      </c>
      <c r="AS84" s="4"/>
      <c r="AT84" s="4"/>
      <c r="AU84" s="4"/>
      <c r="AV84" s="4"/>
      <c r="AW84" s="4"/>
      <c r="AX84" s="4">
        <v>106573.96</v>
      </c>
      <c r="AY84" s="4">
        <v>106573.96</v>
      </c>
      <c r="AZ84" s="4"/>
      <c r="BA84" s="4"/>
      <c r="BB84" s="4"/>
      <c r="BC84" s="4">
        <v>1122502.29</v>
      </c>
      <c r="BD84" s="4"/>
      <c r="BE84" s="45">
        <v>41075.85</v>
      </c>
      <c r="BF84" s="4">
        <v>7303.93</v>
      </c>
      <c r="BG84" s="4">
        <v>7303.93</v>
      </c>
      <c r="BH84" s="4"/>
      <c r="BI84" s="4">
        <v>46576.22</v>
      </c>
      <c r="BJ84" s="4">
        <v>46576.22</v>
      </c>
      <c r="BK84" s="4">
        <v>53880.15</v>
      </c>
      <c r="BL84" s="4">
        <v>8683.41</v>
      </c>
      <c r="BM84" s="4">
        <v>8683.41</v>
      </c>
      <c r="BN84" s="4"/>
      <c r="BO84" s="4">
        <v>75270.37</v>
      </c>
      <c r="BP84" s="4">
        <v>75270.37</v>
      </c>
      <c r="BQ84" s="4">
        <v>83953.78</v>
      </c>
      <c r="BR84" s="4">
        <v>3785.49</v>
      </c>
      <c r="BS84" s="4">
        <v>3785.49</v>
      </c>
      <c r="BT84" s="4">
        <v>24812.52</v>
      </c>
      <c r="BU84" s="4">
        <v>24812.52</v>
      </c>
      <c r="BV84" s="4">
        <v>28598.010000000002</v>
      </c>
      <c r="BW84" s="4"/>
      <c r="BX84" s="4"/>
      <c r="BY84" s="4"/>
      <c r="BZ84" s="4">
        <v>25127.66</v>
      </c>
      <c r="CA84" s="4">
        <v>25127.66</v>
      </c>
      <c r="CB84" s="4">
        <v>25127.66</v>
      </c>
      <c r="CC84" s="4">
        <v>1668510.0999999994</v>
      </c>
      <c r="CD84" s="1"/>
      <c r="CE84" s="1"/>
    </row>
    <row r="85" spans="4:83">
      <c r="D85" s="2">
        <v>42100</v>
      </c>
      <c r="E85" s="11">
        <f t="shared" si="30"/>
        <v>1708622.5500000003</v>
      </c>
      <c r="F85" s="4">
        <f t="shared" si="31"/>
        <v>1159233.9099999999</v>
      </c>
      <c r="G85" s="4">
        <f t="shared" si="24"/>
        <v>0.67846108551007933</v>
      </c>
      <c r="H85" s="4">
        <f t="shared" si="42"/>
        <v>-46989.06</v>
      </c>
      <c r="I85" s="4">
        <f t="shared" si="43"/>
        <v>-36040.699999999997</v>
      </c>
      <c r="J85" s="4">
        <f t="shared" si="32"/>
        <v>-83029.759999999995</v>
      </c>
      <c r="K85" s="4">
        <f t="shared" si="33"/>
        <v>114534.8</v>
      </c>
      <c r="L85" s="4">
        <f t="shared" si="34"/>
        <v>31505.040000000008</v>
      </c>
      <c r="M85" s="4">
        <f t="shared" si="27"/>
        <v>1.8438852981309421E-2</v>
      </c>
      <c r="N85" s="4">
        <f t="shared" si="35"/>
        <v>135588.18</v>
      </c>
      <c r="O85" s="4">
        <f t="shared" si="28"/>
        <v>7.9355256080402295E-2</v>
      </c>
      <c r="P85" s="4">
        <f t="shared" si="36"/>
        <v>1294822.0899999999</v>
      </c>
      <c r="Q85" s="4">
        <f t="shared" si="29"/>
        <v>0.7578163415904815</v>
      </c>
      <c r="R85" s="4">
        <v>81</v>
      </c>
      <c r="S85" s="4">
        <f t="shared" si="37"/>
        <v>1283108.6766496187</v>
      </c>
      <c r="T85" s="4">
        <f t="shared" si="38"/>
        <v>0.75096087</v>
      </c>
      <c r="U85" s="11">
        <f t="shared" si="39"/>
        <v>382295.42000000039</v>
      </c>
      <c r="V85" s="11">
        <f t="shared" si="40"/>
        <v>0.22374480542820901</v>
      </c>
      <c r="W85" s="11">
        <f t="shared" si="41"/>
        <v>0.24903913</v>
      </c>
      <c r="Y85" s="3">
        <v>42100</v>
      </c>
      <c r="Z85" s="4"/>
      <c r="AA85" s="45">
        <v>56555.33</v>
      </c>
      <c r="AB85" s="4">
        <v>9566.27</v>
      </c>
      <c r="AC85" s="4">
        <v>9566.27</v>
      </c>
      <c r="AD85" s="4">
        <v>67296.77</v>
      </c>
      <c r="AE85" s="4">
        <v>67296.77</v>
      </c>
      <c r="AF85" s="4">
        <v>76863.040000000008</v>
      </c>
      <c r="AG85" s="4"/>
      <c r="AH85" s="4"/>
      <c r="AI85" s="4">
        <v>475576.11</v>
      </c>
      <c r="AJ85" s="4">
        <v>475576.11</v>
      </c>
      <c r="AK85" s="4"/>
      <c r="AL85" s="4"/>
      <c r="AM85" s="4">
        <v>400856.6</v>
      </c>
      <c r="AN85" s="4">
        <v>400856.6</v>
      </c>
      <c r="AO85" s="4"/>
      <c r="AP85" s="4"/>
      <c r="AQ85" s="4">
        <v>173013.01</v>
      </c>
      <c r="AR85" s="4">
        <v>173013.01</v>
      </c>
      <c r="AS85" s="4"/>
      <c r="AT85" s="4"/>
      <c r="AU85" s="4"/>
      <c r="AV85" s="4"/>
      <c r="AW85" s="4"/>
      <c r="AX85" s="4">
        <v>109788.19</v>
      </c>
      <c r="AY85" s="4">
        <v>109788.19</v>
      </c>
      <c r="AZ85" s="4"/>
      <c r="BA85" s="4"/>
      <c r="BB85" s="4"/>
      <c r="BC85" s="4">
        <v>1159233.9099999999</v>
      </c>
      <c r="BD85" s="4"/>
      <c r="BE85" s="45">
        <v>43604.88</v>
      </c>
      <c r="BF85" s="4">
        <v>7564.18</v>
      </c>
      <c r="BG85" s="4">
        <v>7564.18</v>
      </c>
      <c r="BH85" s="4"/>
      <c r="BI85" s="4">
        <v>47238.03</v>
      </c>
      <c r="BJ85" s="4">
        <v>47238.03</v>
      </c>
      <c r="BK85" s="4">
        <v>54802.21</v>
      </c>
      <c r="BL85" s="4">
        <v>8823.07</v>
      </c>
      <c r="BM85" s="4">
        <v>8823.07</v>
      </c>
      <c r="BN85" s="4"/>
      <c r="BO85" s="4">
        <v>75435.59</v>
      </c>
      <c r="BP85" s="4">
        <v>75435.59</v>
      </c>
      <c r="BQ85" s="4">
        <v>84258.66</v>
      </c>
      <c r="BR85" s="4">
        <v>3703.85</v>
      </c>
      <c r="BS85" s="4">
        <v>3703.85</v>
      </c>
      <c r="BT85" s="4">
        <v>22879.21</v>
      </c>
      <c r="BU85" s="4">
        <v>22879.21</v>
      </c>
      <c r="BV85" s="4">
        <v>26583.059999999998</v>
      </c>
      <c r="BW85" s="4"/>
      <c r="BX85" s="4"/>
      <c r="BY85" s="4"/>
      <c r="BZ85" s="4">
        <v>24746.46</v>
      </c>
      <c r="CA85" s="4">
        <v>24746.46</v>
      </c>
      <c r="CB85" s="4">
        <v>24746.46</v>
      </c>
      <c r="CC85" s="4">
        <v>1708622.5500000003</v>
      </c>
      <c r="CD85" s="1"/>
      <c r="CE85" s="1"/>
    </row>
    <row r="86" spans="4:83">
      <c r="D86" s="2">
        <v>42107</v>
      </c>
      <c r="E86" s="11">
        <f t="shared" si="30"/>
        <v>1740130.1199999996</v>
      </c>
      <c r="F86" s="4">
        <f t="shared" si="31"/>
        <v>1200467.8900000001</v>
      </c>
      <c r="G86" s="4">
        <f t="shared" si="24"/>
        <v>0.68987248493808062</v>
      </c>
      <c r="H86" s="4">
        <f t="shared" si="42"/>
        <v>-48697.71</v>
      </c>
      <c r="I86" s="4">
        <f t="shared" si="43"/>
        <v>-36630.74</v>
      </c>
      <c r="J86" s="4">
        <f t="shared" si="32"/>
        <v>-85328.45</v>
      </c>
      <c r="K86" s="4">
        <f t="shared" si="33"/>
        <v>113386.84</v>
      </c>
      <c r="L86" s="4">
        <f t="shared" si="34"/>
        <v>28058.39</v>
      </c>
      <c r="M86" s="4">
        <f t="shared" si="27"/>
        <v>1.6124305692726017E-2</v>
      </c>
      <c r="N86" s="4">
        <f t="shared" si="35"/>
        <v>129305.63</v>
      </c>
      <c r="O86" s="4">
        <f t="shared" si="28"/>
        <v>7.4308023586190222E-2</v>
      </c>
      <c r="P86" s="4">
        <f t="shared" si="36"/>
        <v>1329773.52</v>
      </c>
      <c r="Q86" s="4">
        <f t="shared" si="29"/>
        <v>0.76418050852427077</v>
      </c>
      <c r="R86" s="4">
        <v>82</v>
      </c>
      <c r="S86" s="4">
        <f t="shared" si="37"/>
        <v>1307360.0027742165</v>
      </c>
      <c r="T86" s="4">
        <f t="shared" si="38"/>
        <v>0.75130014000000001</v>
      </c>
      <c r="U86" s="11">
        <f t="shared" si="39"/>
        <v>382298.2099999995</v>
      </c>
      <c r="V86" s="11">
        <f t="shared" si="40"/>
        <v>0.21969518578300315</v>
      </c>
      <c r="W86" s="11">
        <f t="shared" si="41"/>
        <v>0.24869985999999999</v>
      </c>
      <c r="Y86" s="3">
        <v>42107</v>
      </c>
      <c r="Z86" s="4"/>
      <c r="AA86" s="45">
        <v>58130.42</v>
      </c>
      <c r="AB86" s="4">
        <v>9432.7099999999991</v>
      </c>
      <c r="AC86" s="4">
        <v>9432.7099999999991</v>
      </c>
      <c r="AD86" s="4">
        <v>67758.05</v>
      </c>
      <c r="AE86" s="4">
        <v>67758.05</v>
      </c>
      <c r="AF86" s="4">
        <v>77190.760000000009</v>
      </c>
      <c r="AG86" s="4"/>
      <c r="AH86" s="4"/>
      <c r="AI86" s="4">
        <v>480877.79</v>
      </c>
      <c r="AJ86" s="4">
        <v>480877.79</v>
      </c>
      <c r="AK86" s="4"/>
      <c r="AL86" s="4"/>
      <c r="AM86" s="4">
        <v>384859.06</v>
      </c>
      <c r="AN86" s="4">
        <v>384859.06</v>
      </c>
      <c r="AO86" s="4"/>
      <c r="AP86" s="4"/>
      <c r="AQ86" s="4">
        <v>223464.66</v>
      </c>
      <c r="AR86" s="4">
        <v>223464.66</v>
      </c>
      <c r="AS86" s="4"/>
      <c r="AT86" s="4"/>
      <c r="AU86" s="4"/>
      <c r="AV86" s="4"/>
      <c r="AW86" s="4"/>
      <c r="AX86" s="4">
        <v>111266.38</v>
      </c>
      <c r="AY86" s="4">
        <v>111266.38</v>
      </c>
      <c r="AZ86" s="4"/>
      <c r="BA86" s="4"/>
      <c r="BB86" s="4"/>
      <c r="BC86" s="4">
        <v>1200467.8900000001</v>
      </c>
      <c r="BD86" s="4"/>
      <c r="BE86" s="45">
        <v>44171.21</v>
      </c>
      <c r="BF86" s="4">
        <v>7540.47</v>
      </c>
      <c r="BG86" s="4">
        <v>7540.47</v>
      </c>
      <c r="BH86" s="4"/>
      <c r="BI86" s="4">
        <v>45628.79</v>
      </c>
      <c r="BJ86" s="4">
        <v>45628.79</v>
      </c>
      <c r="BK86" s="4">
        <v>53169.26</v>
      </c>
      <c r="BL86" s="4">
        <v>9626.1200000000008</v>
      </c>
      <c r="BM86" s="4">
        <v>9626.1200000000008</v>
      </c>
      <c r="BN86" s="4"/>
      <c r="BO86" s="4">
        <v>72727.14</v>
      </c>
      <c r="BP86" s="4">
        <v>72727.14</v>
      </c>
      <c r="BQ86" s="4">
        <v>82353.259999999995</v>
      </c>
      <c r="BR86" s="4">
        <v>3964.14</v>
      </c>
      <c r="BS86" s="4">
        <v>3964.14</v>
      </c>
      <c r="BT86" s="4">
        <v>20923.599999999999</v>
      </c>
      <c r="BU86" s="4">
        <v>20923.599999999999</v>
      </c>
      <c r="BV86" s="4">
        <v>24887.739999999998</v>
      </c>
      <c r="BW86" s="4"/>
      <c r="BX86" s="4"/>
      <c r="BY86" s="4"/>
      <c r="BZ86" s="4">
        <v>22064.63</v>
      </c>
      <c r="CA86" s="4">
        <v>22064.63</v>
      </c>
      <c r="CB86" s="4">
        <v>22064.63</v>
      </c>
      <c r="CC86" s="4">
        <v>1740130.1199999996</v>
      </c>
      <c r="CD86" s="1"/>
      <c r="CE86" s="1"/>
    </row>
    <row r="87" spans="4:83">
      <c r="D87" s="2">
        <v>42114</v>
      </c>
      <c r="E87" s="11">
        <f t="shared" si="30"/>
        <v>1713533.6399999994</v>
      </c>
      <c r="F87" s="4">
        <f t="shared" si="31"/>
        <v>1174243.67</v>
      </c>
      <c r="G87" s="4">
        <f t="shared" si="24"/>
        <v>0.68527611164960867</v>
      </c>
      <c r="H87" s="4">
        <f t="shared" si="42"/>
        <v>-50475.05</v>
      </c>
      <c r="I87" s="4">
        <f t="shared" si="43"/>
        <v>-38660.79</v>
      </c>
      <c r="J87" s="4">
        <f t="shared" si="32"/>
        <v>-89135.84</v>
      </c>
      <c r="K87" s="4">
        <f t="shared" si="33"/>
        <v>118639.66</v>
      </c>
      <c r="L87" s="4">
        <f t="shared" si="34"/>
        <v>29503.820000000007</v>
      </c>
      <c r="M87" s="4">
        <f t="shared" si="27"/>
        <v>1.7218115426085253E-2</v>
      </c>
      <c r="N87" s="4">
        <f t="shared" si="35"/>
        <v>123655.32</v>
      </c>
      <c r="O87" s="4">
        <f t="shared" si="28"/>
        <v>7.2163929037307992E-2</v>
      </c>
      <c r="P87" s="4">
        <f t="shared" si="36"/>
        <v>1297898.99</v>
      </c>
      <c r="Q87" s="4">
        <f t="shared" si="29"/>
        <v>0.75744004068691662</v>
      </c>
      <c r="R87" s="4">
        <v>83</v>
      </c>
      <c r="S87" s="4">
        <f t="shared" si="37"/>
        <v>1287959.4141847519</v>
      </c>
      <c r="T87" s="4">
        <f t="shared" si="38"/>
        <v>0.75163941000000001</v>
      </c>
      <c r="U87" s="11">
        <f t="shared" si="39"/>
        <v>386130.82999999938</v>
      </c>
      <c r="V87" s="11">
        <f t="shared" si="40"/>
        <v>0.22534184388699804</v>
      </c>
      <c r="W87" s="11">
        <f t="shared" si="41"/>
        <v>0.24836058999999999</v>
      </c>
      <c r="Y87" s="3">
        <v>42114</v>
      </c>
      <c r="Z87" s="4"/>
      <c r="AA87" s="45">
        <v>59553.79</v>
      </c>
      <c r="AB87" s="4">
        <v>9078.74</v>
      </c>
      <c r="AC87" s="4">
        <v>9078.74</v>
      </c>
      <c r="AD87" s="4">
        <v>70170.03</v>
      </c>
      <c r="AE87" s="4">
        <v>70170.03</v>
      </c>
      <c r="AF87" s="4">
        <v>79248.77</v>
      </c>
      <c r="AG87" s="4"/>
      <c r="AH87" s="4"/>
      <c r="AI87" s="4">
        <v>491567.17</v>
      </c>
      <c r="AJ87" s="4">
        <v>491567.17</v>
      </c>
      <c r="AK87" s="4"/>
      <c r="AL87" s="4"/>
      <c r="AM87" s="4">
        <v>380748.85</v>
      </c>
      <c r="AN87" s="4">
        <v>380748.85</v>
      </c>
      <c r="AO87" s="4"/>
      <c r="AP87" s="4"/>
      <c r="AQ87" s="4">
        <v>191233.74</v>
      </c>
      <c r="AR87" s="4">
        <v>191233.74</v>
      </c>
      <c r="AS87" s="4"/>
      <c r="AT87" s="4"/>
      <c r="AU87" s="4"/>
      <c r="AV87" s="4"/>
      <c r="AW87" s="4"/>
      <c r="AX87" s="4">
        <v>110693.91</v>
      </c>
      <c r="AY87" s="4">
        <v>110693.91</v>
      </c>
      <c r="AZ87" s="4"/>
      <c r="BA87" s="4"/>
      <c r="BB87" s="4"/>
      <c r="BC87" s="4">
        <v>1174243.67</v>
      </c>
      <c r="BD87" s="4"/>
      <c r="BE87" s="45">
        <v>45463.72</v>
      </c>
      <c r="BF87" s="4">
        <v>6802.93</v>
      </c>
      <c r="BG87" s="4">
        <v>6802.93</v>
      </c>
      <c r="BH87" s="4"/>
      <c r="BI87" s="4">
        <v>48469.63</v>
      </c>
      <c r="BJ87" s="4">
        <v>48469.63</v>
      </c>
      <c r="BK87" s="4">
        <v>55272.56</v>
      </c>
      <c r="BL87" s="4">
        <v>8235.5499999999993</v>
      </c>
      <c r="BM87" s="4">
        <v>8235.5499999999993</v>
      </c>
      <c r="BN87" s="4"/>
      <c r="BO87" s="4">
        <v>73940.69</v>
      </c>
      <c r="BP87" s="4">
        <v>73940.69</v>
      </c>
      <c r="BQ87" s="4">
        <v>82176.240000000005</v>
      </c>
      <c r="BR87" s="4">
        <v>3086.83</v>
      </c>
      <c r="BS87" s="4">
        <v>3086.83</v>
      </c>
      <c r="BT87" s="4">
        <v>18834.62</v>
      </c>
      <c r="BU87" s="4">
        <v>18834.62</v>
      </c>
      <c r="BV87" s="4">
        <v>21921.449999999997</v>
      </c>
      <c r="BW87" s="4"/>
      <c r="BX87" s="4"/>
      <c r="BY87" s="4"/>
      <c r="BZ87" s="4">
        <v>19557.63</v>
      </c>
      <c r="CA87" s="4">
        <v>19557.63</v>
      </c>
      <c r="CB87" s="4">
        <v>19557.63</v>
      </c>
      <c r="CC87" s="4">
        <v>1713533.6399999994</v>
      </c>
      <c r="CD87" s="1"/>
      <c r="CE87" s="1"/>
    </row>
    <row r="88" spans="4:83">
      <c r="D88" s="2">
        <v>42121</v>
      </c>
      <c r="E88" s="11">
        <f t="shared" si="30"/>
        <v>1728899.46</v>
      </c>
      <c r="F88" s="4">
        <f t="shared" si="31"/>
        <v>1195195.6500000001</v>
      </c>
      <c r="G88" s="4">
        <f t="shared" si="24"/>
        <v>0.69130431100950207</v>
      </c>
      <c r="H88" s="4">
        <f t="shared" si="42"/>
        <v>-50302.590000000004</v>
      </c>
      <c r="I88" s="4">
        <f t="shared" si="43"/>
        <v>-38788.54</v>
      </c>
      <c r="J88" s="4">
        <f t="shared" si="32"/>
        <v>-89091.13</v>
      </c>
      <c r="K88" s="4">
        <f t="shared" si="33"/>
        <v>113585.13</v>
      </c>
      <c r="L88" s="4">
        <f t="shared" si="34"/>
        <v>24494</v>
      </c>
      <c r="M88" s="4">
        <f t="shared" si="27"/>
        <v>1.4167394094738163E-2</v>
      </c>
      <c r="N88" s="4">
        <f t="shared" si="35"/>
        <v>120815.46</v>
      </c>
      <c r="O88" s="4">
        <f t="shared" si="28"/>
        <v>6.9879980181149465E-2</v>
      </c>
      <c r="P88" s="4">
        <f t="shared" si="36"/>
        <v>1316011.1100000001</v>
      </c>
      <c r="Q88" s="4">
        <f t="shared" si="29"/>
        <v>0.76118429119065145</v>
      </c>
      <c r="R88" s="4">
        <v>84</v>
      </c>
      <c r="S88" s="4">
        <f t="shared" si="37"/>
        <v>1300095.5337835129</v>
      </c>
      <c r="T88" s="4">
        <f t="shared" si="38"/>
        <v>0.75197868000000001</v>
      </c>
      <c r="U88" s="11">
        <f t="shared" si="39"/>
        <v>388394.34999999986</v>
      </c>
      <c r="V88" s="11">
        <f t="shared" si="40"/>
        <v>0.22464831471461033</v>
      </c>
      <c r="W88" s="11">
        <f t="shared" si="41"/>
        <v>0.24802131999999999</v>
      </c>
      <c r="Y88" s="3">
        <v>42121</v>
      </c>
      <c r="Z88" s="4"/>
      <c r="AA88" s="45">
        <v>58776.72</v>
      </c>
      <c r="AB88" s="4">
        <v>8474.1299999999992</v>
      </c>
      <c r="AC88" s="4">
        <v>8474.1299999999992</v>
      </c>
      <c r="AD88" s="4">
        <v>66250.05</v>
      </c>
      <c r="AE88" s="4">
        <v>66250.05</v>
      </c>
      <c r="AF88" s="4">
        <v>74724.180000000008</v>
      </c>
      <c r="AG88" s="4"/>
      <c r="AH88" s="4"/>
      <c r="AI88" s="4">
        <v>530562.88</v>
      </c>
      <c r="AJ88" s="4">
        <v>530562.88</v>
      </c>
      <c r="AK88" s="4"/>
      <c r="AL88" s="4"/>
      <c r="AM88" s="4">
        <v>384120.59</v>
      </c>
      <c r="AN88" s="4">
        <v>384120.59</v>
      </c>
      <c r="AO88" s="4"/>
      <c r="AP88" s="4"/>
      <c r="AQ88" s="4">
        <v>175587.11</v>
      </c>
      <c r="AR88" s="4">
        <v>175587.11</v>
      </c>
      <c r="AS88" s="4"/>
      <c r="AT88" s="4"/>
      <c r="AU88" s="4"/>
      <c r="AV88" s="4"/>
      <c r="AW88" s="4"/>
      <c r="AX88" s="4">
        <v>104925.07</v>
      </c>
      <c r="AY88" s="4">
        <v>104925.07</v>
      </c>
      <c r="AZ88" s="4"/>
      <c r="BA88" s="4"/>
      <c r="BB88" s="4"/>
      <c r="BC88" s="4">
        <v>1195195.6500000001</v>
      </c>
      <c r="BD88" s="4"/>
      <c r="BE88" s="45">
        <v>45249.98</v>
      </c>
      <c r="BF88" s="4">
        <v>6461.44</v>
      </c>
      <c r="BG88" s="4">
        <v>6461.44</v>
      </c>
      <c r="BH88" s="4"/>
      <c r="BI88" s="4">
        <v>47335.08</v>
      </c>
      <c r="BJ88" s="4">
        <v>47335.08</v>
      </c>
      <c r="BK88" s="4">
        <v>53796.520000000004</v>
      </c>
      <c r="BL88" s="4">
        <v>7622.07</v>
      </c>
      <c r="BM88" s="4">
        <v>7622.07</v>
      </c>
      <c r="BN88" s="4"/>
      <c r="BO88" s="4">
        <v>73476.160000000003</v>
      </c>
      <c r="BP88" s="4">
        <v>73476.160000000003</v>
      </c>
      <c r="BQ88" s="4">
        <v>81098.23000000001</v>
      </c>
      <c r="BR88" s="4">
        <v>2716.93</v>
      </c>
      <c r="BS88" s="4">
        <v>2716.93</v>
      </c>
      <c r="BT88" s="4">
        <v>18079.099999999999</v>
      </c>
      <c r="BU88" s="4">
        <v>18079.099999999999</v>
      </c>
      <c r="BV88" s="4">
        <v>20796.03</v>
      </c>
      <c r="BW88" s="4"/>
      <c r="BX88" s="4"/>
      <c r="BY88" s="4"/>
      <c r="BZ88" s="4">
        <v>18921.2</v>
      </c>
      <c r="CA88" s="4">
        <v>18921.2</v>
      </c>
      <c r="CB88" s="4">
        <v>18921.2</v>
      </c>
      <c r="CC88" s="4">
        <v>1728899.46</v>
      </c>
      <c r="CD88" s="1"/>
      <c r="CE88" s="1"/>
    </row>
    <row r="89" spans="4:83">
      <c r="D89" s="2">
        <v>42128</v>
      </c>
      <c r="E89" s="11">
        <f t="shared" si="30"/>
        <v>1774653.8600000003</v>
      </c>
      <c r="F89" s="4">
        <f t="shared" si="31"/>
        <v>1210117.3800000001</v>
      </c>
      <c r="G89" s="4">
        <f t="shared" si="24"/>
        <v>0.68188924458767408</v>
      </c>
      <c r="H89" s="4">
        <f t="shared" si="42"/>
        <v>-49545.369999999995</v>
      </c>
      <c r="I89" s="4">
        <f t="shared" si="43"/>
        <v>-37690.81</v>
      </c>
      <c r="J89" s="4">
        <f t="shared" si="32"/>
        <v>-87236.18</v>
      </c>
      <c r="K89" s="4">
        <f t="shared" si="33"/>
        <v>117005.34</v>
      </c>
      <c r="L89" s="4">
        <f t="shared" si="34"/>
        <v>29769.160000000003</v>
      </c>
      <c r="M89" s="4">
        <f t="shared" si="27"/>
        <v>1.677462894087977E-2</v>
      </c>
      <c r="N89" s="4">
        <f t="shared" si="35"/>
        <v>123647.84</v>
      </c>
      <c r="O89" s="4">
        <f t="shared" si="28"/>
        <v>6.9674342015067642E-2</v>
      </c>
      <c r="P89" s="4">
        <f t="shared" si="36"/>
        <v>1333765.2200000002</v>
      </c>
      <c r="Q89" s="4">
        <f t="shared" si="29"/>
        <v>0.75156358660274181</v>
      </c>
      <c r="R89" s="4">
        <v>85</v>
      </c>
      <c r="S89" s="4">
        <f t="shared" si="37"/>
        <v>1335103.9539147874</v>
      </c>
      <c r="T89" s="4">
        <f t="shared" si="38"/>
        <v>0.75231795000000001</v>
      </c>
      <c r="U89" s="11">
        <f t="shared" si="39"/>
        <v>411119.48000000021</v>
      </c>
      <c r="V89" s="11">
        <f t="shared" si="40"/>
        <v>0.23166178445637853</v>
      </c>
      <c r="W89" s="11">
        <f t="shared" si="41"/>
        <v>0.24768204999999999</v>
      </c>
      <c r="Y89" s="3">
        <v>42128</v>
      </c>
      <c r="Z89" s="4"/>
      <c r="AA89" s="45">
        <v>58497.31</v>
      </c>
      <c r="AB89" s="4">
        <v>8951.94</v>
      </c>
      <c r="AC89" s="4">
        <v>8951.94</v>
      </c>
      <c r="AD89" s="4">
        <v>69870.83</v>
      </c>
      <c r="AE89" s="4">
        <v>69870.83</v>
      </c>
      <c r="AF89" s="4">
        <v>78822.77</v>
      </c>
      <c r="AG89" s="4"/>
      <c r="AH89" s="4"/>
      <c r="AI89" s="4">
        <v>532219.64</v>
      </c>
      <c r="AJ89" s="4">
        <v>532219.64</v>
      </c>
      <c r="AK89" s="4"/>
      <c r="AL89" s="4"/>
      <c r="AM89" s="4">
        <v>372968.21</v>
      </c>
      <c r="AN89" s="4">
        <v>372968.21</v>
      </c>
      <c r="AO89" s="4"/>
      <c r="AP89" s="4"/>
      <c r="AQ89" s="4">
        <v>191950.8</v>
      </c>
      <c r="AR89" s="4">
        <v>191950.8</v>
      </c>
      <c r="AS89" s="4"/>
      <c r="AT89" s="4"/>
      <c r="AU89" s="4"/>
      <c r="AV89" s="4"/>
      <c r="AW89" s="4"/>
      <c r="AX89" s="4">
        <v>112978.73</v>
      </c>
      <c r="AY89" s="4">
        <v>112978.73</v>
      </c>
      <c r="AZ89" s="4"/>
      <c r="BA89" s="4"/>
      <c r="BB89" s="4"/>
      <c r="BC89" s="4">
        <v>1210117.3800000001</v>
      </c>
      <c r="BD89" s="4"/>
      <c r="BE89" s="45">
        <v>44674.43</v>
      </c>
      <c r="BF89" s="4">
        <v>6983.62</v>
      </c>
      <c r="BG89" s="4">
        <v>6983.62</v>
      </c>
      <c r="BH89" s="4"/>
      <c r="BI89" s="4">
        <v>47134.51</v>
      </c>
      <c r="BJ89" s="4">
        <v>47134.51</v>
      </c>
      <c r="BK89" s="4">
        <v>54118.130000000005</v>
      </c>
      <c r="BL89" s="4">
        <v>11055.29</v>
      </c>
      <c r="BM89" s="4">
        <v>11055.29</v>
      </c>
      <c r="BN89" s="4"/>
      <c r="BO89" s="4">
        <v>72362.33</v>
      </c>
      <c r="BP89" s="4">
        <v>72362.33</v>
      </c>
      <c r="BQ89" s="4">
        <v>83417.62</v>
      </c>
      <c r="BR89" s="4">
        <v>3106.31</v>
      </c>
      <c r="BS89" s="4">
        <v>3106.31</v>
      </c>
      <c r="BT89" s="4">
        <v>18199.63</v>
      </c>
      <c r="BU89" s="4">
        <v>18199.63</v>
      </c>
      <c r="BV89" s="4">
        <v>21305.940000000002</v>
      </c>
      <c r="BW89" s="4"/>
      <c r="BX89" s="4"/>
      <c r="BY89" s="4"/>
      <c r="BZ89" s="4">
        <v>18924.28</v>
      </c>
      <c r="CA89" s="4">
        <v>18924.28</v>
      </c>
      <c r="CB89" s="4">
        <v>18924.28</v>
      </c>
      <c r="CC89" s="4">
        <v>1774653.8600000003</v>
      </c>
      <c r="CD89" s="1"/>
      <c r="CE89" s="1"/>
    </row>
    <row r="90" spans="4:83">
      <c r="D90" s="2">
        <v>42135</v>
      </c>
      <c r="E90" s="11">
        <f t="shared" si="30"/>
        <v>1832276.82</v>
      </c>
      <c r="F90" s="4">
        <f t="shared" si="31"/>
        <v>1265457.4400000002</v>
      </c>
      <c r="G90" s="4">
        <f t="shared" si="24"/>
        <v>0.69064751907956801</v>
      </c>
      <c r="H90" s="4">
        <f t="shared" si="42"/>
        <v>-50512.5</v>
      </c>
      <c r="I90" s="4">
        <f t="shared" si="43"/>
        <v>-38333.509999999995</v>
      </c>
      <c r="J90" s="4">
        <f t="shared" si="32"/>
        <v>-88846.01</v>
      </c>
      <c r="K90" s="4">
        <f t="shared" si="33"/>
        <v>109510.39</v>
      </c>
      <c r="L90" s="4">
        <f t="shared" si="34"/>
        <v>20664.380000000005</v>
      </c>
      <c r="M90" s="4">
        <f t="shared" si="27"/>
        <v>1.1277979273895964E-2</v>
      </c>
      <c r="N90" s="4">
        <f t="shared" si="35"/>
        <v>122396.76000000001</v>
      </c>
      <c r="O90" s="4">
        <f t="shared" si="28"/>
        <v>6.6800364805138998E-2</v>
      </c>
      <c r="P90" s="4">
        <f t="shared" si="36"/>
        <v>1387854.2000000002</v>
      </c>
      <c r="Q90" s="4">
        <f t="shared" si="29"/>
        <v>0.75744788388470696</v>
      </c>
      <c r="R90" s="4">
        <v>86</v>
      </c>
      <c r="S90" s="4">
        <f t="shared" si="37"/>
        <v>1379076.3776116404</v>
      </c>
      <c r="T90" s="4">
        <f t="shared" si="38"/>
        <v>0.75265722000000002</v>
      </c>
      <c r="U90" s="11">
        <f t="shared" si="39"/>
        <v>423758.23999999976</v>
      </c>
      <c r="V90" s="11">
        <f t="shared" si="40"/>
        <v>0.231274136841397</v>
      </c>
      <c r="W90" s="11">
        <f t="shared" si="41"/>
        <v>0.24734277999999998</v>
      </c>
      <c r="Y90" s="3">
        <v>42135</v>
      </c>
      <c r="Z90" s="4"/>
      <c r="AA90" s="45">
        <v>60714.46</v>
      </c>
      <c r="AB90" s="4">
        <v>10201.959999999999</v>
      </c>
      <c r="AC90" s="4">
        <v>10201.959999999999</v>
      </c>
      <c r="AD90" s="4">
        <v>62205.05</v>
      </c>
      <c r="AE90" s="4">
        <v>62205.05</v>
      </c>
      <c r="AF90" s="4">
        <v>72407.010000000009</v>
      </c>
      <c r="AG90" s="4"/>
      <c r="AH90" s="4"/>
      <c r="AI90" s="4">
        <v>597116.29</v>
      </c>
      <c r="AJ90" s="4">
        <v>597116.29</v>
      </c>
      <c r="AK90" s="4"/>
      <c r="AL90" s="4"/>
      <c r="AM90" s="4">
        <v>363637.1</v>
      </c>
      <c r="AN90" s="4">
        <v>363637.1</v>
      </c>
      <c r="AO90" s="4"/>
      <c r="AP90" s="4"/>
      <c r="AQ90" s="4">
        <v>191858.7</v>
      </c>
      <c r="AR90" s="4">
        <v>191858.7</v>
      </c>
      <c r="AS90" s="4"/>
      <c r="AT90" s="4"/>
      <c r="AU90" s="4"/>
      <c r="AV90" s="4"/>
      <c r="AW90" s="4"/>
      <c r="AX90" s="4">
        <v>112845.35</v>
      </c>
      <c r="AY90" s="4">
        <v>112845.35</v>
      </c>
      <c r="AZ90" s="4"/>
      <c r="BA90" s="4"/>
      <c r="BB90" s="4"/>
      <c r="BC90" s="4">
        <v>1265457.4400000002</v>
      </c>
      <c r="BD90" s="4"/>
      <c r="BE90" s="45">
        <v>46218.52</v>
      </c>
      <c r="BF90" s="4">
        <v>7885.01</v>
      </c>
      <c r="BG90" s="4">
        <v>7885.01</v>
      </c>
      <c r="BH90" s="4"/>
      <c r="BI90" s="4">
        <v>47305.34</v>
      </c>
      <c r="BJ90" s="4">
        <v>47305.34</v>
      </c>
      <c r="BK90" s="4">
        <v>55190.35</v>
      </c>
      <c r="BL90" s="4">
        <v>10628.21</v>
      </c>
      <c r="BM90" s="4">
        <v>10628.21</v>
      </c>
      <c r="BN90" s="4"/>
      <c r="BO90" s="4">
        <v>71115.990000000005</v>
      </c>
      <c r="BP90" s="4">
        <v>71115.990000000005</v>
      </c>
      <c r="BQ90" s="4">
        <v>81744.200000000012</v>
      </c>
      <c r="BR90" s="4">
        <v>3705.88</v>
      </c>
      <c r="BS90" s="4">
        <v>3705.88</v>
      </c>
      <c r="BT90" s="4">
        <v>18337.34</v>
      </c>
      <c r="BU90" s="4">
        <v>18337.34</v>
      </c>
      <c r="BV90" s="4">
        <v>22043.22</v>
      </c>
      <c r="BW90" s="4"/>
      <c r="BX90" s="4"/>
      <c r="BY90" s="4"/>
      <c r="BZ90" s="4">
        <v>18609.34</v>
      </c>
      <c r="CA90" s="4">
        <v>18609.34</v>
      </c>
      <c r="CB90" s="4">
        <v>18609.34</v>
      </c>
      <c r="CC90" s="4">
        <v>1832276.82</v>
      </c>
      <c r="CD90" s="1"/>
      <c r="CE90" s="1"/>
    </row>
    <row r="91" spans="4:83">
      <c r="D91" s="2">
        <v>42142</v>
      </c>
      <c r="E91" s="11">
        <f t="shared" si="30"/>
        <v>1949882.0000000005</v>
      </c>
      <c r="F91" s="4">
        <f t="shared" si="31"/>
        <v>1355060.1600000001</v>
      </c>
      <c r="G91" s="4">
        <f t="shared" si="24"/>
        <v>0.69494469921769619</v>
      </c>
      <c r="H91" s="4">
        <f t="shared" si="42"/>
        <v>-59443.240000000005</v>
      </c>
      <c r="I91" s="4">
        <f t="shared" si="43"/>
        <v>-45334.32</v>
      </c>
      <c r="J91" s="4">
        <f t="shared" si="32"/>
        <v>-104777.56</v>
      </c>
      <c r="K91" s="4">
        <f t="shared" si="33"/>
        <v>115512</v>
      </c>
      <c r="L91" s="4">
        <f t="shared" si="34"/>
        <v>10734.440000000002</v>
      </c>
      <c r="M91" s="4">
        <f t="shared" si="27"/>
        <v>5.5051741592568168E-3</v>
      </c>
      <c r="N91" s="4">
        <f t="shared" si="35"/>
        <v>128120.06</v>
      </c>
      <c r="O91" s="4">
        <f t="shared" si="28"/>
        <v>6.5706570961729979E-2</v>
      </c>
      <c r="P91" s="4">
        <f t="shared" si="36"/>
        <v>1483180.2200000002</v>
      </c>
      <c r="Q91" s="4">
        <f t="shared" si="29"/>
        <v>0.76065127017942613</v>
      </c>
      <c r="R91" s="4">
        <v>87</v>
      </c>
      <c r="S91" s="4">
        <f t="shared" si="37"/>
        <v>1468254.3019141804</v>
      </c>
      <c r="T91" s="4">
        <f t="shared" si="38"/>
        <v>0.75299649000000002</v>
      </c>
      <c r="U91" s="11">
        <f t="shared" si="39"/>
        <v>455967.34000000032</v>
      </c>
      <c r="V91" s="11">
        <f t="shared" si="40"/>
        <v>0.23384355566131704</v>
      </c>
      <c r="W91" s="11">
        <f t="shared" si="41"/>
        <v>0.24700350999999998</v>
      </c>
      <c r="Y91" s="3">
        <v>42142</v>
      </c>
      <c r="Z91" s="4"/>
      <c r="AA91" s="45">
        <v>69502.710000000006</v>
      </c>
      <c r="AB91" s="4">
        <v>10059.469999999999</v>
      </c>
      <c r="AC91" s="4">
        <v>10059.469999999999</v>
      </c>
      <c r="AD91" s="4">
        <v>65081.65</v>
      </c>
      <c r="AE91" s="4">
        <v>65081.65</v>
      </c>
      <c r="AF91" s="4">
        <v>75141.119999999995</v>
      </c>
      <c r="AG91" s="4"/>
      <c r="AH91" s="4"/>
      <c r="AI91" s="4">
        <v>605407.93000000005</v>
      </c>
      <c r="AJ91" s="4">
        <v>605407.93000000005</v>
      </c>
      <c r="AK91" s="4"/>
      <c r="AL91" s="4"/>
      <c r="AM91" s="4">
        <v>407552.75</v>
      </c>
      <c r="AN91" s="4">
        <v>407552.75</v>
      </c>
      <c r="AO91" s="4"/>
      <c r="AP91" s="4"/>
      <c r="AQ91" s="4">
        <v>218333.17</v>
      </c>
      <c r="AR91" s="4">
        <v>218333.17</v>
      </c>
      <c r="AS91" s="4"/>
      <c r="AT91" s="4"/>
      <c r="AU91" s="4"/>
      <c r="AV91" s="4"/>
      <c r="AW91" s="4"/>
      <c r="AX91" s="4">
        <v>123766.31</v>
      </c>
      <c r="AY91" s="4">
        <v>123766.31</v>
      </c>
      <c r="AZ91" s="4"/>
      <c r="BA91" s="4"/>
      <c r="BB91" s="4"/>
      <c r="BC91" s="4">
        <v>1355060.1600000001</v>
      </c>
      <c r="BD91" s="4"/>
      <c r="BE91" s="45">
        <v>53198.15</v>
      </c>
      <c r="BF91" s="4">
        <v>7863.83</v>
      </c>
      <c r="BG91" s="4">
        <v>7863.83</v>
      </c>
      <c r="BH91" s="4"/>
      <c r="BI91" s="4">
        <v>50430.35</v>
      </c>
      <c r="BJ91" s="4">
        <v>50430.35</v>
      </c>
      <c r="BK91" s="4">
        <v>58294.18</v>
      </c>
      <c r="BL91" s="4">
        <v>10484.17</v>
      </c>
      <c r="BM91" s="4">
        <v>10484.17</v>
      </c>
      <c r="BN91" s="4"/>
      <c r="BO91" s="4">
        <v>77215.5</v>
      </c>
      <c r="BP91" s="4">
        <v>77215.5</v>
      </c>
      <c r="BQ91" s="4">
        <v>87699.67</v>
      </c>
      <c r="BR91" s="4">
        <v>3591.5</v>
      </c>
      <c r="BS91" s="4">
        <v>3591.5</v>
      </c>
      <c r="BT91" s="4">
        <v>18244.46</v>
      </c>
      <c r="BU91" s="4">
        <v>18244.46</v>
      </c>
      <c r="BV91" s="4">
        <v>21835.96</v>
      </c>
      <c r="BW91" s="4">
        <v>0</v>
      </c>
      <c r="BX91" s="4">
        <v>0</v>
      </c>
      <c r="BY91" s="4"/>
      <c r="BZ91" s="4">
        <v>18584.43</v>
      </c>
      <c r="CA91" s="4">
        <v>18584.43</v>
      </c>
      <c r="CB91" s="4">
        <v>18584.43</v>
      </c>
      <c r="CC91" s="4">
        <v>1949882.0000000005</v>
      </c>
      <c r="CD91" s="1"/>
      <c r="CE91" s="1"/>
    </row>
    <row r="92" spans="4:83">
      <c r="D92" s="2">
        <v>42149</v>
      </c>
      <c r="E92" s="11">
        <f t="shared" si="30"/>
        <v>1520369.0599999998</v>
      </c>
      <c r="F92" s="4">
        <f t="shared" si="31"/>
        <v>1063117.76</v>
      </c>
      <c r="G92" s="4">
        <f t="shared" si="24"/>
        <v>0.69924979925597808</v>
      </c>
      <c r="H92" s="4">
        <f t="shared" si="42"/>
        <v>-44539.25</v>
      </c>
      <c r="I92" s="4">
        <f t="shared" si="43"/>
        <v>-33340.01</v>
      </c>
      <c r="J92" s="4">
        <f t="shared" si="32"/>
        <v>-77879.260000000009</v>
      </c>
      <c r="K92" s="4">
        <f t="shared" si="33"/>
        <v>76737.649999999994</v>
      </c>
      <c r="L92" s="4">
        <f t="shared" si="34"/>
        <v>-1141.6100000000151</v>
      </c>
      <c r="M92" s="4">
        <f t="shared" si="27"/>
        <v>-7.5087689564007256E-4</v>
      </c>
      <c r="N92" s="4">
        <f t="shared" si="35"/>
        <v>102064.49</v>
      </c>
      <c r="O92" s="4">
        <f t="shared" si="28"/>
        <v>6.7131391111050376E-2</v>
      </c>
      <c r="P92" s="4">
        <f t="shared" si="36"/>
        <v>1165182.25</v>
      </c>
      <c r="Q92" s="4">
        <f t="shared" si="29"/>
        <v>0.76638119036702845</v>
      </c>
      <c r="R92" s="4">
        <v>88</v>
      </c>
      <c r="S92" s="4">
        <f t="shared" si="37"/>
        <v>1145348.3812955855</v>
      </c>
      <c r="T92" s="4">
        <f t="shared" si="38"/>
        <v>0.75333576000000002</v>
      </c>
      <c r="U92" s="11">
        <f t="shared" si="39"/>
        <v>356328.41999999993</v>
      </c>
      <c r="V92" s="11">
        <f t="shared" si="40"/>
        <v>0.23436968652861165</v>
      </c>
      <c r="W92" s="11">
        <f t="shared" si="41"/>
        <v>0.24666423999999998</v>
      </c>
      <c r="Y92" s="3">
        <v>42149</v>
      </c>
      <c r="Z92" s="4"/>
      <c r="AA92" s="45">
        <v>53135.46</v>
      </c>
      <c r="AB92" s="4">
        <v>8596.2099999999991</v>
      </c>
      <c r="AC92" s="4">
        <v>8596.2099999999991</v>
      </c>
      <c r="AD92" s="4">
        <v>38187.68</v>
      </c>
      <c r="AE92" s="4">
        <v>38187.68</v>
      </c>
      <c r="AF92" s="4">
        <v>46783.89</v>
      </c>
      <c r="AG92" s="4"/>
      <c r="AH92" s="4"/>
      <c r="AI92" s="4">
        <v>490408.06</v>
      </c>
      <c r="AJ92" s="4">
        <v>490408.06</v>
      </c>
      <c r="AK92" s="4"/>
      <c r="AL92" s="4"/>
      <c r="AM92" s="4">
        <v>312000</v>
      </c>
      <c r="AN92" s="4">
        <v>312000</v>
      </c>
      <c r="AO92" s="4"/>
      <c r="AP92" s="4"/>
      <c r="AQ92" s="4">
        <v>168591.1</v>
      </c>
      <c r="AR92" s="4">
        <v>168591.1</v>
      </c>
      <c r="AS92" s="4"/>
      <c r="AT92" s="4"/>
      <c r="AU92" s="4"/>
      <c r="AV92" s="4"/>
      <c r="AW92" s="4"/>
      <c r="AX92" s="4">
        <v>92118.6</v>
      </c>
      <c r="AY92" s="4">
        <v>92118.6</v>
      </c>
      <c r="AZ92" s="4"/>
      <c r="BA92" s="4"/>
      <c r="BB92" s="4"/>
      <c r="BC92" s="4">
        <v>1063117.76</v>
      </c>
      <c r="BD92" s="4"/>
      <c r="BE92" s="45">
        <v>40341.9</v>
      </c>
      <c r="BF92" s="4">
        <v>7001.89</v>
      </c>
      <c r="BG92" s="4">
        <v>7001.89</v>
      </c>
      <c r="BH92" s="4"/>
      <c r="BI92" s="4">
        <v>38549.97</v>
      </c>
      <c r="BJ92" s="4">
        <v>38549.97</v>
      </c>
      <c r="BK92" s="4">
        <v>45551.86</v>
      </c>
      <c r="BL92" s="4">
        <v>8169.07</v>
      </c>
      <c r="BM92" s="4">
        <v>8169.07</v>
      </c>
      <c r="BN92" s="4"/>
      <c r="BO92" s="4">
        <v>62810.04</v>
      </c>
      <c r="BP92" s="4">
        <v>62810.04</v>
      </c>
      <c r="BQ92" s="4">
        <v>70979.11</v>
      </c>
      <c r="BR92" s="4">
        <v>3288.14</v>
      </c>
      <c r="BS92" s="4">
        <v>3288.14</v>
      </c>
      <c r="BT92" s="4">
        <v>13715.55</v>
      </c>
      <c r="BU92" s="4">
        <v>13715.55</v>
      </c>
      <c r="BV92" s="4">
        <v>17003.689999999999</v>
      </c>
      <c r="BW92" s="4"/>
      <c r="BX92" s="4"/>
      <c r="BY92" s="4"/>
      <c r="BZ92" s="4">
        <v>14081.69</v>
      </c>
      <c r="CA92" s="4">
        <v>14081.69</v>
      </c>
      <c r="CB92" s="4">
        <v>14081.69</v>
      </c>
      <c r="CC92" s="4">
        <v>1520369.0599999998</v>
      </c>
      <c r="CD92" s="1"/>
      <c r="CE92" s="1"/>
    </row>
    <row r="93" spans="4:83">
      <c r="D93" s="2">
        <v>42156</v>
      </c>
      <c r="E93" s="11">
        <f t="shared" si="30"/>
        <v>1674109.6599999997</v>
      </c>
      <c r="F93" s="4">
        <f t="shared" si="31"/>
        <v>1152811.71</v>
      </c>
      <c r="G93" s="4">
        <f t="shared" si="24"/>
        <v>0.68861182606162141</v>
      </c>
      <c r="H93" s="4">
        <f t="shared" si="42"/>
        <v>-52201.96</v>
      </c>
      <c r="I93" s="4">
        <f t="shared" si="43"/>
        <v>-39225.61</v>
      </c>
      <c r="J93" s="4">
        <f t="shared" si="32"/>
        <v>-91427.57</v>
      </c>
      <c r="K93" s="4">
        <f t="shared" si="33"/>
        <v>102741.07</v>
      </c>
      <c r="L93" s="4">
        <f t="shared" si="34"/>
        <v>11313.5</v>
      </c>
      <c r="M93" s="4">
        <f t="shared" si="27"/>
        <v>6.757920505637607E-3</v>
      </c>
      <c r="N93" s="4">
        <f t="shared" si="35"/>
        <v>110457.61</v>
      </c>
      <c r="O93" s="4">
        <f t="shared" si="28"/>
        <v>6.5979913167695373E-2</v>
      </c>
      <c r="P93" s="4">
        <f t="shared" si="36"/>
        <v>1263269.32</v>
      </c>
      <c r="Q93" s="4">
        <f t="shared" si="29"/>
        <v>0.75459173922931688</v>
      </c>
      <c r="R93" s="4">
        <v>89</v>
      </c>
      <c r="S93" s="4">
        <f t="shared" si="37"/>
        <v>1261734.6482237896</v>
      </c>
      <c r="T93" s="4">
        <f t="shared" si="38"/>
        <v>0.75367503000000002</v>
      </c>
      <c r="U93" s="11">
        <f t="shared" si="39"/>
        <v>399526.83999999962</v>
      </c>
      <c r="V93" s="11">
        <f t="shared" si="40"/>
        <v>0.23865034026504553</v>
      </c>
      <c r="W93" s="11">
        <f t="shared" si="41"/>
        <v>0.24632496999999998</v>
      </c>
      <c r="Y93" s="3">
        <v>42156</v>
      </c>
      <c r="Z93" s="4"/>
      <c r="AA93" s="45">
        <v>60768.35</v>
      </c>
      <c r="AB93" s="4">
        <v>8566.39</v>
      </c>
      <c r="AC93" s="4">
        <v>8566.39</v>
      </c>
      <c r="AD93" s="4">
        <v>58454.84</v>
      </c>
      <c r="AE93" s="4">
        <v>58454.84</v>
      </c>
      <c r="AF93" s="4">
        <v>67021.23</v>
      </c>
      <c r="AG93" s="4"/>
      <c r="AH93" s="4"/>
      <c r="AI93" s="4">
        <v>465776.43</v>
      </c>
      <c r="AJ93" s="4">
        <v>465776.43</v>
      </c>
      <c r="AK93" s="4"/>
      <c r="AL93" s="4"/>
      <c r="AM93" s="4">
        <v>354666.35</v>
      </c>
      <c r="AN93" s="4">
        <v>354666.35</v>
      </c>
      <c r="AO93" s="4"/>
      <c r="AP93" s="4"/>
      <c r="AQ93" s="4">
        <v>218120.41</v>
      </c>
      <c r="AR93" s="4">
        <v>218120.41</v>
      </c>
      <c r="AS93" s="4"/>
      <c r="AT93" s="4"/>
      <c r="AU93" s="4"/>
      <c r="AV93" s="4"/>
      <c r="AW93" s="4"/>
      <c r="AX93" s="4">
        <v>114248.52</v>
      </c>
      <c r="AY93" s="4">
        <v>114248.52</v>
      </c>
      <c r="AZ93" s="4"/>
      <c r="BA93" s="4"/>
      <c r="BB93" s="4"/>
      <c r="BC93" s="4">
        <v>1152811.71</v>
      </c>
      <c r="BD93" s="4"/>
      <c r="BE93" s="45">
        <v>46060.86</v>
      </c>
      <c r="BF93" s="4">
        <v>6835.25</v>
      </c>
      <c r="BG93" s="4">
        <v>6835.25</v>
      </c>
      <c r="BH93" s="4"/>
      <c r="BI93" s="4">
        <v>44286.23</v>
      </c>
      <c r="BJ93" s="4">
        <v>44286.23</v>
      </c>
      <c r="BK93" s="4">
        <v>51121.48</v>
      </c>
      <c r="BL93" s="4">
        <v>8279.7199999999993</v>
      </c>
      <c r="BM93" s="4">
        <v>8279.7199999999993</v>
      </c>
      <c r="BN93" s="4"/>
      <c r="BO93" s="4">
        <v>67485.97</v>
      </c>
      <c r="BP93" s="4">
        <v>67485.97</v>
      </c>
      <c r="BQ93" s="4">
        <v>75765.69</v>
      </c>
      <c r="BR93" s="4">
        <v>3209.63</v>
      </c>
      <c r="BS93" s="4">
        <v>3209.63</v>
      </c>
      <c r="BT93" s="4">
        <v>15413.2</v>
      </c>
      <c r="BU93" s="4">
        <v>15413.2</v>
      </c>
      <c r="BV93" s="4">
        <v>18622.830000000002</v>
      </c>
      <c r="BW93" s="4"/>
      <c r="BX93" s="4"/>
      <c r="BY93" s="4"/>
      <c r="BZ93" s="4">
        <v>16069.09</v>
      </c>
      <c r="CA93" s="4">
        <v>16069.09</v>
      </c>
      <c r="CB93" s="4">
        <v>16069.09</v>
      </c>
      <c r="CC93" s="4">
        <v>1674109.6599999997</v>
      </c>
      <c r="CD93" s="1"/>
      <c r="CE93" s="1"/>
    </row>
    <row r="94" spans="4:83">
      <c r="D94" s="2">
        <v>42163</v>
      </c>
      <c r="E94" s="11">
        <f t="shared" si="30"/>
        <v>1769207.3499999999</v>
      </c>
      <c r="F94" s="4">
        <f t="shared" si="31"/>
        <v>1222843.2</v>
      </c>
      <c r="G94" s="4">
        <f t="shared" si="24"/>
        <v>0.69118139261630362</v>
      </c>
      <c r="H94" s="4">
        <f t="shared" si="42"/>
        <v>-51327.86</v>
      </c>
      <c r="I94" s="4">
        <f t="shared" si="43"/>
        <v>-38784.600000000006</v>
      </c>
      <c r="J94" s="4">
        <f t="shared" si="32"/>
        <v>-90112.46</v>
      </c>
      <c r="K94" s="4">
        <f t="shared" si="33"/>
        <v>109300.34</v>
      </c>
      <c r="L94" s="4">
        <f t="shared" si="34"/>
        <v>19187.87999999999</v>
      </c>
      <c r="M94" s="4">
        <f t="shared" si="27"/>
        <v>1.0845467039236521E-2</v>
      </c>
      <c r="N94" s="4">
        <f t="shared" si="35"/>
        <v>121750.34999999999</v>
      </c>
      <c r="O94" s="4">
        <f t="shared" si="28"/>
        <v>6.8816326136108358E-2</v>
      </c>
      <c r="P94" s="4">
        <f t="shared" si="36"/>
        <v>1344593.55</v>
      </c>
      <c r="Q94" s="4">
        <f t="shared" si="29"/>
        <v>0.75999771875241195</v>
      </c>
      <c r="R94" s="4">
        <v>90</v>
      </c>
      <c r="S94" s="4">
        <f t="shared" si="37"/>
        <v>1334007.6415651049</v>
      </c>
      <c r="T94" s="4">
        <f t="shared" si="38"/>
        <v>0.75401430000000003</v>
      </c>
      <c r="U94" s="11">
        <f t="shared" si="39"/>
        <v>405425.91999999993</v>
      </c>
      <c r="V94" s="11">
        <f t="shared" si="40"/>
        <v>0.22915681420835152</v>
      </c>
      <c r="W94" s="11">
        <f t="shared" si="41"/>
        <v>0.24598569999999997</v>
      </c>
      <c r="Y94" s="3">
        <v>42163</v>
      </c>
      <c r="Z94" s="4"/>
      <c r="AA94" s="45">
        <v>60714.69</v>
      </c>
      <c r="AB94" s="4">
        <v>9386.83</v>
      </c>
      <c r="AC94" s="4">
        <v>9386.83</v>
      </c>
      <c r="AD94" s="4">
        <v>64575.97</v>
      </c>
      <c r="AE94" s="4">
        <v>64575.97</v>
      </c>
      <c r="AF94" s="4">
        <v>73962.8</v>
      </c>
      <c r="AG94" s="4"/>
      <c r="AH94" s="4"/>
      <c r="AI94" s="4">
        <v>498366.51</v>
      </c>
      <c r="AJ94" s="4">
        <v>498366.51</v>
      </c>
      <c r="AK94" s="4"/>
      <c r="AL94" s="4"/>
      <c r="AM94" s="4">
        <v>394224.81</v>
      </c>
      <c r="AN94" s="4">
        <v>394224.81</v>
      </c>
      <c r="AO94" s="4"/>
      <c r="AP94" s="4"/>
      <c r="AQ94" s="4">
        <v>211479.71</v>
      </c>
      <c r="AR94" s="4">
        <v>211479.71</v>
      </c>
      <c r="AS94" s="4"/>
      <c r="AT94" s="4"/>
      <c r="AU94" s="4"/>
      <c r="AV94" s="4"/>
      <c r="AW94" s="4"/>
      <c r="AX94" s="4">
        <v>118772.17</v>
      </c>
      <c r="AY94" s="4">
        <v>118772.17</v>
      </c>
      <c r="AZ94" s="4"/>
      <c r="BA94" s="4"/>
      <c r="BB94" s="4"/>
      <c r="BC94" s="4">
        <v>1222843.2</v>
      </c>
      <c r="BD94" s="4"/>
      <c r="BE94" s="45">
        <v>45881.26</v>
      </c>
      <c r="BF94" s="4">
        <v>7096.66</v>
      </c>
      <c r="BG94" s="4">
        <v>7096.66</v>
      </c>
      <c r="BH94" s="4"/>
      <c r="BI94" s="4">
        <v>44724.37</v>
      </c>
      <c r="BJ94" s="4">
        <v>44724.37</v>
      </c>
      <c r="BK94" s="4">
        <v>51821.03</v>
      </c>
      <c r="BL94" s="4">
        <v>9839.66</v>
      </c>
      <c r="BM94" s="4">
        <v>9839.66</v>
      </c>
      <c r="BN94" s="4"/>
      <c r="BO94" s="4">
        <v>77075.98</v>
      </c>
      <c r="BP94" s="4">
        <v>77075.98</v>
      </c>
      <c r="BQ94" s="4">
        <v>86915.64</v>
      </c>
      <c r="BR94" s="4">
        <v>3027.94</v>
      </c>
      <c r="BS94" s="4">
        <v>3027.94</v>
      </c>
      <c r="BT94" s="4">
        <v>15760.4</v>
      </c>
      <c r="BU94" s="4">
        <v>15760.4</v>
      </c>
      <c r="BV94" s="4">
        <v>18788.34</v>
      </c>
      <c r="BW94" s="4"/>
      <c r="BX94" s="4"/>
      <c r="BY94" s="4"/>
      <c r="BZ94" s="4">
        <v>16046.37</v>
      </c>
      <c r="CA94" s="4">
        <v>16046.37</v>
      </c>
      <c r="CB94" s="4">
        <v>16046.37</v>
      </c>
      <c r="CC94" s="4">
        <v>1769207.3499999999</v>
      </c>
      <c r="CD94" s="1"/>
      <c r="CE94" s="1"/>
    </row>
    <row r="95" spans="4:83">
      <c r="D95" s="2">
        <v>42170</v>
      </c>
      <c r="E95" s="11">
        <f t="shared" si="30"/>
        <v>1765496.63</v>
      </c>
      <c r="F95" s="4">
        <f t="shared" si="31"/>
        <v>1207808.97</v>
      </c>
      <c r="G95" s="4">
        <f t="shared" si="24"/>
        <v>0.68411853609712081</v>
      </c>
      <c r="H95" s="4">
        <f t="shared" si="42"/>
        <v>-52701.08</v>
      </c>
      <c r="I95" s="4">
        <f t="shared" si="43"/>
        <v>-39578.879999999997</v>
      </c>
      <c r="J95" s="4">
        <f t="shared" si="32"/>
        <v>-92279.959999999992</v>
      </c>
      <c r="K95" s="4">
        <f t="shared" si="33"/>
        <v>103786.68</v>
      </c>
      <c r="L95" s="4">
        <f t="shared" si="34"/>
        <v>11506.720000000001</v>
      </c>
      <c r="M95" s="4">
        <f t="shared" si="27"/>
        <v>6.5175542136265661E-3</v>
      </c>
      <c r="N95" s="4">
        <f t="shared" si="35"/>
        <v>135466.68999999997</v>
      </c>
      <c r="O95" s="4">
        <f t="shared" si="28"/>
        <v>7.6730075661486805E-2</v>
      </c>
      <c r="P95" s="4">
        <f t="shared" si="36"/>
        <v>1343275.66</v>
      </c>
      <c r="Q95" s="4">
        <f t="shared" si="29"/>
        <v>0.76084861175860752</v>
      </c>
      <c r="R95" s="4">
        <v>91</v>
      </c>
      <c r="S95" s="4">
        <f t="shared" si="37"/>
        <v>1331808.6856634691</v>
      </c>
      <c r="T95" s="4">
        <f t="shared" si="38"/>
        <v>0.75435357000000003</v>
      </c>
      <c r="U95" s="11">
        <f t="shared" si="39"/>
        <v>410714.25</v>
      </c>
      <c r="V95" s="11">
        <f t="shared" si="40"/>
        <v>0.23263383402776591</v>
      </c>
      <c r="W95" s="11">
        <f t="shared" si="41"/>
        <v>0.24564642999999997</v>
      </c>
      <c r="Y95" s="3">
        <v>42170</v>
      </c>
      <c r="Z95" s="4"/>
      <c r="AA95" s="45">
        <v>62421</v>
      </c>
      <c r="AB95" s="4">
        <v>9719.92</v>
      </c>
      <c r="AC95" s="4">
        <v>9719.92</v>
      </c>
      <c r="AD95" s="4">
        <v>59324.97</v>
      </c>
      <c r="AE95" s="4">
        <v>59324.97</v>
      </c>
      <c r="AF95" s="4">
        <v>69044.89</v>
      </c>
      <c r="AG95" s="4"/>
      <c r="AH95" s="4"/>
      <c r="AI95" s="4">
        <v>485774.28</v>
      </c>
      <c r="AJ95" s="4">
        <v>485774.28</v>
      </c>
      <c r="AK95" s="4"/>
      <c r="AL95" s="4"/>
      <c r="AM95" s="4">
        <v>408594.46</v>
      </c>
      <c r="AN95" s="4">
        <v>408594.46</v>
      </c>
      <c r="AO95" s="4"/>
      <c r="AP95" s="4"/>
      <c r="AQ95" s="4">
        <v>199271.93</v>
      </c>
      <c r="AR95" s="4">
        <v>199271.93</v>
      </c>
      <c r="AS95" s="4"/>
      <c r="AT95" s="4"/>
      <c r="AU95" s="4"/>
      <c r="AV95" s="4"/>
      <c r="AW95" s="4"/>
      <c r="AX95" s="4">
        <v>114168.3</v>
      </c>
      <c r="AY95" s="4">
        <v>114168.3</v>
      </c>
      <c r="AZ95" s="4"/>
      <c r="BA95" s="4"/>
      <c r="BB95" s="4"/>
      <c r="BC95" s="4">
        <v>1207808.97</v>
      </c>
      <c r="BD95" s="4"/>
      <c r="BE95" s="45">
        <v>46794.17</v>
      </c>
      <c r="BF95" s="4">
        <v>7215.29</v>
      </c>
      <c r="BG95" s="4">
        <v>7215.29</v>
      </c>
      <c r="BH95" s="4"/>
      <c r="BI95" s="4">
        <v>44461.71</v>
      </c>
      <c r="BJ95" s="4">
        <v>44461.71</v>
      </c>
      <c r="BK95" s="4">
        <v>51677</v>
      </c>
      <c r="BL95" s="4">
        <v>9587.51</v>
      </c>
      <c r="BM95" s="4">
        <v>9587.51</v>
      </c>
      <c r="BN95" s="4"/>
      <c r="BO95" s="4">
        <v>90768.68</v>
      </c>
      <c r="BP95" s="4">
        <v>90768.68</v>
      </c>
      <c r="BQ95" s="4">
        <v>100356.18999999999</v>
      </c>
      <c r="BR95" s="4">
        <v>3992.23</v>
      </c>
      <c r="BS95" s="4">
        <v>3992.23</v>
      </c>
      <c r="BT95" s="4">
        <v>15556.34</v>
      </c>
      <c r="BU95" s="4">
        <v>15556.34</v>
      </c>
      <c r="BV95" s="4">
        <v>19548.57</v>
      </c>
      <c r="BW95" s="4"/>
      <c r="BX95" s="4"/>
      <c r="BY95" s="4"/>
      <c r="BZ95" s="4">
        <v>15561.93</v>
      </c>
      <c r="CA95" s="4">
        <v>15561.93</v>
      </c>
      <c r="CB95" s="4">
        <v>15561.93</v>
      </c>
      <c r="CC95" s="4">
        <v>1765496.63</v>
      </c>
      <c r="CD95" s="1"/>
      <c r="CE95" s="1"/>
    </row>
    <row r="96" spans="4:83">
      <c r="D96" s="2">
        <v>42177</v>
      </c>
      <c r="E96" s="11">
        <f t="shared" si="30"/>
        <v>1889609.9900000002</v>
      </c>
      <c r="F96" s="4">
        <f t="shared" si="31"/>
        <v>1316279.29</v>
      </c>
      <c r="G96" s="4">
        <f t="shared" si="24"/>
        <v>0.69658781281104465</v>
      </c>
      <c r="H96" s="4">
        <f t="shared" si="42"/>
        <v>-55532.67</v>
      </c>
      <c r="I96" s="4">
        <f t="shared" si="43"/>
        <v>-41697.689999999995</v>
      </c>
      <c r="J96" s="4">
        <f t="shared" si="32"/>
        <v>-97230.359999999986</v>
      </c>
      <c r="K96" s="4">
        <f t="shared" si="33"/>
        <v>114972.11</v>
      </c>
      <c r="L96" s="4">
        <f t="shared" si="34"/>
        <v>17741.750000000015</v>
      </c>
      <c r="M96" s="4">
        <f t="shared" si="27"/>
        <v>9.3891067965829345E-3</v>
      </c>
      <c r="N96" s="4">
        <f t="shared" si="35"/>
        <v>118472.95</v>
      </c>
      <c r="O96" s="4">
        <f t="shared" si="28"/>
        <v>6.26970383449338E-2</v>
      </c>
      <c r="P96" s="4">
        <f t="shared" si="36"/>
        <v>1434752.24</v>
      </c>
      <c r="Q96" s="4">
        <f t="shared" si="29"/>
        <v>0.75928485115597844</v>
      </c>
      <c r="R96" s="4">
        <v>92</v>
      </c>
      <c r="S96" s="4">
        <f t="shared" si="37"/>
        <v>1426075.1298454718</v>
      </c>
      <c r="T96" s="4">
        <f t="shared" si="38"/>
        <v>0.75469284000000003</v>
      </c>
      <c r="U96" s="11">
        <f t="shared" si="39"/>
        <v>437116.00000000023</v>
      </c>
      <c r="V96" s="11">
        <f t="shared" si="40"/>
        <v>0.23132604204743867</v>
      </c>
      <c r="W96" s="11">
        <f t="shared" si="41"/>
        <v>0.24530715999999997</v>
      </c>
      <c r="Y96" s="3">
        <v>42177</v>
      </c>
      <c r="Z96" s="4"/>
      <c r="AA96" s="45">
        <v>64115.28</v>
      </c>
      <c r="AB96" s="4">
        <v>8582.61</v>
      </c>
      <c r="AC96" s="4">
        <v>8582.61</v>
      </c>
      <c r="AD96" s="4">
        <v>67821.2</v>
      </c>
      <c r="AE96" s="4">
        <v>67821.2</v>
      </c>
      <c r="AF96" s="4">
        <v>76403.81</v>
      </c>
      <c r="AG96" s="4"/>
      <c r="AH96" s="4"/>
      <c r="AI96" s="4">
        <v>510665.72</v>
      </c>
      <c r="AJ96" s="4">
        <v>510665.72</v>
      </c>
      <c r="AK96" s="4"/>
      <c r="AL96" s="4"/>
      <c r="AM96" s="4">
        <v>470978.13</v>
      </c>
      <c r="AN96" s="4">
        <v>470978.13</v>
      </c>
      <c r="AO96" s="4"/>
      <c r="AP96" s="4"/>
      <c r="AQ96" s="4">
        <v>213558.92</v>
      </c>
      <c r="AR96" s="4">
        <v>213558.92</v>
      </c>
      <c r="AS96" s="4"/>
      <c r="AT96" s="4"/>
      <c r="AU96" s="4"/>
      <c r="AV96" s="4"/>
      <c r="AW96" s="4"/>
      <c r="AX96" s="4">
        <v>121076.52</v>
      </c>
      <c r="AY96" s="4">
        <v>121076.52</v>
      </c>
      <c r="AZ96" s="4"/>
      <c r="BA96" s="4"/>
      <c r="BB96" s="4"/>
      <c r="BC96" s="4">
        <v>1316279.29</v>
      </c>
      <c r="BD96" s="4"/>
      <c r="BE96" s="45">
        <v>49134.59</v>
      </c>
      <c r="BF96" s="4">
        <v>7436.9</v>
      </c>
      <c r="BG96" s="4">
        <v>7436.9</v>
      </c>
      <c r="BH96" s="4"/>
      <c r="BI96" s="4">
        <v>47150.91</v>
      </c>
      <c r="BJ96" s="4">
        <v>47150.91</v>
      </c>
      <c r="BK96" s="4">
        <v>54587.810000000005</v>
      </c>
      <c r="BL96" s="4">
        <v>7643.95</v>
      </c>
      <c r="BM96" s="4">
        <v>7643.95</v>
      </c>
      <c r="BN96" s="4"/>
      <c r="BO96" s="4">
        <v>74229.48</v>
      </c>
      <c r="BP96" s="4">
        <v>74229.48</v>
      </c>
      <c r="BQ96" s="4">
        <v>81873.429999999993</v>
      </c>
      <c r="BR96" s="4">
        <v>2834.16</v>
      </c>
      <c r="BS96" s="4">
        <v>2834.16</v>
      </c>
      <c r="BT96" s="4">
        <v>16827.53</v>
      </c>
      <c r="BU96" s="4">
        <v>16827.53</v>
      </c>
      <c r="BV96" s="4">
        <v>19661.689999999999</v>
      </c>
      <c r="BW96" s="4">
        <v>0</v>
      </c>
      <c r="BX96" s="4">
        <v>0</v>
      </c>
      <c r="BY96" s="4"/>
      <c r="BZ96" s="4">
        <v>16937.830000000002</v>
      </c>
      <c r="CA96" s="4">
        <v>16937.830000000002</v>
      </c>
      <c r="CB96" s="4">
        <v>16937.830000000002</v>
      </c>
      <c r="CC96" s="4">
        <v>1889609.9900000002</v>
      </c>
      <c r="CD96" s="1"/>
      <c r="CE96" s="1"/>
    </row>
    <row r="97" spans="4:83">
      <c r="D97" s="2">
        <v>42184</v>
      </c>
      <c r="E97" s="11">
        <f t="shared" si="30"/>
        <v>1789024.4699999997</v>
      </c>
      <c r="F97" s="4">
        <f t="shared" si="31"/>
        <v>1238495.7000000002</v>
      </c>
      <c r="G97" s="4">
        <f t="shared" si="24"/>
        <v>0.69227432087611429</v>
      </c>
      <c r="H97" s="4">
        <f t="shared" si="42"/>
        <v>-48404.23</v>
      </c>
      <c r="I97" s="4">
        <f t="shared" si="43"/>
        <v>-37071.65</v>
      </c>
      <c r="J97" s="4">
        <f t="shared" si="32"/>
        <v>-85475.88</v>
      </c>
      <c r="K97" s="4">
        <f t="shared" si="33"/>
        <v>105479.15</v>
      </c>
      <c r="L97" s="4">
        <f t="shared" si="34"/>
        <v>20003.26999999999</v>
      </c>
      <c r="M97" s="4">
        <f t="shared" si="27"/>
        <v>1.1181104750344747E-2</v>
      </c>
      <c r="N97" s="4">
        <f t="shared" si="35"/>
        <v>110467.02</v>
      </c>
      <c r="O97" s="4">
        <f t="shared" si="28"/>
        <v>6.1747070457901572E-2</v>
      </c>
      <c r="P97" s="4">
        <f t="shared" si="36"/>
        <v>1348962.7200000002</v>
      </c>
      <c r="Q97" s="4">
        <f t="shared" si="29"/>
        <v>0.75402139133401591</v>
      </c>
      <c r="R97" s="4">
        <v>93</v>
      </c>
      <c r="S97" s="4">
        <f t="shared" si="37"/>
        <v>1350770.9204257315</v>
      </c>
      <c r="T97" s="4">
        <f t="shared" si="38"/>
        <v>0.75503211000000003</v>
      </c>
      <c r="U97" s="11">
        <f t="shared" si="39"/>
        <v>420058.47999999952</v>
      </c>
      <c r="V97" s="11">
        <f t="shared" si="40"/>
        <v>0.23479750391563933</v>
      </c>
      <c r="W97" s="11">
        <f t="shared" si="41"/>
        <v>0.24496788999999997</v>
      </c>
      <c r="Y97" s="3">
        <v>42184</v>
      </c>
      <c r="Z97" s="4"/>
      <c r="AA97" s="45">
        <v>57572.72</v>
      </c>
      <c r="AB97" s="4">
        <v>9168.49</v>
      </c>
      <c r="AC97" s="4">
        <v>9168.49</v>
      </c>
      <c r="AD97" s="4">
        <v>61754.52</v>
      </c>
      <c r="AE97" s="4">
        <v>61754.52</v>
      </c>
      <c r="AF97" s="4">
        <v>70923.009999999995</v>
      </c>
      <c r="AG97" s="4"/>
      <c r="AH97" s="4"/>
      <c r="AI97" s="4">
        <v>516543.68</v>
      </c>
      <c r="AJ97" s="4">
        <v>516543.68</v>
      </c>
      <c r="AK97" s="4"/>
      <c r="AL97" s="4"/>
      <c r="AM97" s="4">
        <v>410740.39</v>
      </c>
      <c r="AN97" s="4">
        <v>410740.39</v>
      </c>
      <c r="AO97" s="4"/>
      <c r="AP97" s="4"/>
      <c r="AQ97" s="4">
        <v>199482.36</v>
      </c>
      <c r="AR97" s="4">
        <v>199482.36</v>
      </c>
      <c r="AS97" s="4"/>
      <c r="AT97" s="4"/>
      <c r="AU97" s="4"/>
      <c r="AV97" s="4"/>
      <c r="AW97" s="4"/>
      <c r="AX97" s="4">
        <v>111729.27</v>
      </c>
      <c r="AY97" s="4">
        <v>111729.27</v>
      </c>
      <c r="AZ97" s="4"/>
      <c r="BA97" s="4"/>
      <c r="BB97" s="4"/>
      <c r="BC97" s="4">
        <v>1238495.7000000002</v>
      </c>
      <c r="BD97" s="4"/>
      <c r="BE97" s="45">
        <v>44237.73</v>
      </c>
      <c r="BF97" s="4">
        <v>7166.08</v>
      </c>
      <c r="BG97" s="4">
        <v>7166.08</v>
      </c>
      <c r="BH97" s="4"/>
      <c r="BI97" s="4">
        <v>43724.63</v>
      </c>
      <c r="BJ97" s="4">
        <v>43724.63</v>
      </c>
      <c r="BK97" s="4">
        <v>50890.71</v>
      </c>
      <c r="BL97" s="4">
        <v>8985.93</v>
      </c>
      <c r="BM97" s="4">
        <v>8985.93</v>
      </c>
      <c r="BN97" s="4"/>
      <c r="BO97" s="4">
        <v>67519.17</v>
      </c>
      <c r="BP97" s="4">
        <v>67519.17</v>
      </c>
      <c r="BQ97" s="4">
        <v>76505.100000000006</v>
      </c>
      <c r="BR97" s="4">
        <v>2999.53</v>
      </c>
      <c r="BS97" s="4">
        <v>2999.53</v>
      </c>
      <c r="BT97" s="4">
        <v>15172.24</v>
      </c>
      <c r="BU97" s="4">
        <v>15172.24</v>
      </c>
      <c r="BV97" s="4">
        <v>18171.77</v>
      </c>
      <c r="BW97" s="4"/>
      <c r="BX97" s="4"/>
      <c r="BY97" s="4"/>
      <c r="BZ97" s="4">
        <v>15790.15</v>
      </c>
      <c r="CA97" s="4">
        <v>15790.15</v>
      </c>
      <c r="CB97" s="4">
        <v>15790.15</v>
      </c>
      <c r="CC97" s="4">
        <v>1789024.4699999997</v>
      </c>
      <c r="CD97" s="1"/>
      <c r="CE97" s="1"/>
    </row>
    <row r="98" spans="4:83">
      <c r="D98" s="2">
        <v>42191</v>
      </c>
      <c r="E98" s="11">
        <f t="shared" si="30"/>
        <v>1689226.8900000001</v>
      </c>
      <c r="F98" s="4">
        <f t="shared" si="31"/>
        <v>1168717.0000000002</v>
      </c>
      <c r="G98" s="4">
        <f t="shared" si="24"/>
        <v>0.69186502234759006</v>
      </c>
      <c r="H98" s="4">
        <f t="shared" si="42"/>
        <v>-51091.91</v>
      </c>
      <c r="I98" s="4">
        <f t="shared" si="43"/>
        <v>-38491.46</v>
      </c>
      <c r="J98" s="4">
        <f t="shared" si="32"/>
        <v>-89583.37</v>
      </c>
      <c r="K98" s="4">
        <f t="shared" si="33"/>
        <v>98740.57</v>
      </c>
      <c r="L98" s="4">
        <f t="shared" si="34"/>
        <v>9157.2000000000116</v>
      </c>
      <c r="M98" s="4">
        <f t="shared" si="27"/>
        <v>5.4209414106591754E-3</v>
      </c>
      <c r="N98" s="4">
        <f t="shared" si="35"/>
        <v>102087.14000000001</v>
      </c>
      <c r="O98" s="4">
        <f t="shared" si="28"/>
        <v>6.0434238055492952E-2</v>
      </c>
      <c r="P98" s="4">
        <f t="shared" si="36"/>
        <v>1270804.1400000001</v>
      </c>
      <c r="Q98" s="4">
        <f t="shared" si="29"/>
        <v>0.75229926040308304</v>
      </c>
      <c r="R98" s="4">
        <v>94</v>
      </c>
      <c r="S98" s="4">
        <f t="shared" si="37"/>
        <v>1275993.6470324083</v>
      </c>
      <c r="T98" s="4">
        <f t="shared" si="38"/>
        <v>0.75537138000000004</v>
      </c>
      <c r="U98" s="11">
        <f t="shared" si="39"/>
        <v>409265.54999999981</v>
      </c>
      <c r="V98" s="11">
        <f t="shared" si="40"/>
        <v>0.24227979818625772</v>
      </c>
      <c r="W98" s="11">
        <f t="shared" si="41"/>
        <v>0.24462861999999996</v>
      </c>
      <c r="Y98" s="3">
        <v>42191</v>
      </c>
      <c r="Z98" s="4"/>
      <c r="AA98" s="45">
        <v>60524.41</v>
      </c>
      <c r="AB98" s="4">
        <v>9432.5</v>
      </c>
      <c r="AC98" s="4">
        <v>9432.5</v>
      </c>
      <c r="AD98" s="4">
        <v>58267.48</v>
      </c>
      <c r="AE98" s="4">
        <v>58267.48</v>
      </c>
      <c r="AF98" s="4">
        <v>67699.98000000001</v>
      </c>
      <c r="AG98" s="4"/>
      <c r="AH98" s="4"/>
      <c r="AI98" s="4">
        <v>511970.27</v>
      </c>
      <c r="AJ98" s="4">
        <v>511970.27</v>
      </c>
      <c r="AK98" s="4"/>
      <c r="AL98" s="4"/>
      <c r="AM98" s="4">
        <v>376173.84</v>
      </c>
      <c r="AN98" s="4">
        <v>376173.84</v>
      </c>
      <c r="AO98" s="4"/>
      <c r="AP98" s="4"/>
      <c r="AQ98" s="4">
        <v>179932.79</v>
      </c>
      <c r="AR98" s="4">
        <v>179932.79</v>
      </c>
      <c r="AS98" s="4"/>
      <c r="AT98" s="4"/>
      <c r="AU98" s="4"/>
      <c r="AV98" s="4"/>
      <c r="AW98" s="4"/>
      <c r="AX98" s="4">
        <v>100640.1</v>
      </c>
      <c r="AY98" s="4">
        <v>100640.1</v>
      </c>
      <c r="AZ98" s="4"/>
      <c r="BA98" s="4"/>
      <c r="BB98" s="4"/>
      <c r="BC98" s="4">
        <v>1168717.0000000002</v>
      </c>
      <c r="BD98" s="4"/>
      <c r="BE98" s="45">
        <v>45852.04</v>
      </c>
      <c r="BF98" s="4">
        <v>7360.58</v>
      </c>
      <c r="BG98" s="4">
        <v>7360.58</v>
      </c>
      <c r="BH98" s="4"/>
      <c r="BI98" s="4">
        <v>40473.089999999997</v>
      </c>
      <c r="BJ98" s="4">
        <v>40473.089999999997</v>
      </c>
      <c r="BK98" s="4">
        <v>47833.67</v>
      </c>
      <c r="BL98" s="4">
        <v>8526.01</v>
      </c>
      <c r="BM98" s="4">
        <v>8526.01</v>
      </c>
      <c r="BN98" s="4"/>
      <c r="BO98" s="4">
        <v>61977.65</v>
      </c>
      <c r="BP98" s="4">
        <v>61977.65</v>
      </c>
      <c r="BQ98" s="4">
        <v>70503.66</v>
      </c>
      <c r="BR98" s="4">
        <v>2884.28</v>
      </c>
      <c r="BS98" s="4">
        <v>2884.28</v>
      </c>
      <c r="BT98" s="4">
        <v>14138.82</v>
      </c>
      <c r="BU98" s="4">
        <v>14138.82</v>
      </c>
      <c r="BV98" s="4">
        <v>17023.099999999999</v>
      </c>
      <c r="BW98" s="4"/>
      <c r="BX98" s="4"/>
      <c r="BY98" s="4"/>
      <c r="BZ98" s="4">
        <v>14560.38</v>
      </c>
      <c r="CA98" s="4">
        <v>14560.38</v>
      </c>
      <c r="CB98" s="4">
        <v>14560.38</v>
      </c>
      <c r="CC98" s="4">
        <v>1689226.8900000001</v>
      </c>
      <c r="CD98" s="1"/>
      <c r="CE98" s="1"/>
    </row>
    <row r="99" spans="4:83">
      <c r="D99" s="2">
        <v>42198</v>
      </c>
      <c r="E99" s="11">
        <f t="shared" si="30"/>
        <v>1748381.5899999994</v>
      </c>
      <c r="F99" s="4">
        <f t="shared" si="31"/>
        <v>1214972.8199999998</v>
      </c>
      <c r="G99" s="4">
        <f t="shared" si="24"/>
        <v>0.69491284222456284</v>
      </c>
      <c r="H99" s="4">
        <f t="shared" si="42"/>
        <v>-50214.38</v>
      </c>
      <c r="I99" s="4">
        <f t="shared" si="43"/>
        <v>-36779.33</v>
      </c>
      <c r="J99" s="4">
        <f t="shared" si="32"/>
        <v>-86993.709999999992</v>
      </c>
      <c r="K99" s="4">
        <f t="shared" si="33"/>
        <v>106094.92</v>
      </c>
      <c r="L99" s="4">
        <f t="shared" si="34"/>
        <v>19101.210000000006</v>
      </c>
      <c r="M99" s="4">
        <f t="shared" si="27"/>
        <v>1.0925080719935979E-2</v>
      </c>
      <c r="N99" s="4">
        <f t="shared" si="35"/>
        <v>107374.91</v>
      </c>
      <c r="O99" s="4">
        <f t="shared" si="28"/>
        <v>6.1413887342522316E-2</v>
      </c>
      <c r="P99" s="4">
        <f t="shared" si="36"/>
        <v>1322347.7299999997</v>
      </c>
      <c r="Q99" s="4">
        <f t="shared" si="29"/>
        <v>0.75632672956708502</v>
      </c>
      <c r="R99" s="4">
        <v>95</v>
      </c>
      <c r="S99" s="4">
        <f t="shared" si="37"/>
        <v>1321270.587826933</v>
      </c>
      <c r="T99" s="4">
        <f t="shared" si="38"/>
        <v>0.75571065000000004</v>
      </c>
      <c r="U99" s="11">
        <f t="shared" si="39"/>
        <v>406932.64999999967</v>
      </c>
      <c r="V99" s="11">
        <f t="shared" si="40"/>
        <v>0.23274818971297898</v>
      </c>
      <c r="W99" s="11">
        <f t="shared" si="41"/>
        <v>0.24428934999999996</v>
      </c>
      <c r="Y99" s="3">
        <v>42198</v>
      </c>
      <c r="Z99" s="4"/>
      <c r="AA99" s="45">
        <v>59311.78</v>
      </c>
      <c r="AB99" s="4">
        <v>9097.4</v>
      </c>
      <c r="AC99" s="4">
        <v>9097.4</v>
      </c>
      <c r="AD99" s="4">
        <v>62605.84</v>
      </c>
      <c r="AE99" s="4">
        <v>62605.84</v>
      </c>
      <c r="AF99" s="4">
        <v>71703.239999999991</v>
      </c>
      <c r="AG99" s="4"/>
      <c r="AH99" s="4"/>
      <c r="AI99" s="4">
        <v>522784.63</v>
      </c>
      <c r="AJ99" s="4">
        <v>522784.63</v>
      </c>
      <c r="AK99" s="4"/>
      <c r="AL99" s="4"/>
      <c r="AM99" s="4">
        <v>408067.35</v>
      </c>
      <c r="AN99" s="4">
        <v>408067.35</v>
      </c>
      <c r="AO99" s="4"/>
      <c r="AP99" s="4"/>
      <c r="AQ99" s="4">
        <v>182320.91</v>
      </c>
      <c r="AR99" s="4">
        <v>182320.91</v>
      </c>
      <c r="AS99" s="4"/>
      <c r="AT99" s="4"/>
      <c r="AU99" s="4"/>
      <c r="AV99" s="4"/>
      <c r="AW99" s="4"/>
      <c r="AX99" s="4">
        <v>101799.93</v>
      </c>
      <c r="AY99" s="4">
        <v>101799.93</v>
      </c>
      <c r="AZ99" s="4"/>
      <c r="BA99" s="4"/>
      <c r="BB99" s="4"/>
      <c r="BC99" s="4">
        <v>1214972.8199999998</v>
      </c>
      <c r="BD99" s="4"/>
      <c r="BE99" s="45">
        <v>43945.760000000002</v>
      </c>
      <c r="BF99" s="4">
        <v>7166.43</v>
      </c>
      <c r="BG99" s="4">
        <v>7166.43</v>
      </c>
      <c r="BH99" s="4"/>
      <c r="BI99" s="4">
        <v>43489.08</v>
      </c>
      <c r="BJ99" s="4">
        <v>43489.08</v>
      </c>
      <c r="BK99" s="4">
        <v>50655.51</v>
      </c>
      <c r="BL99" s="4">
        <v>8285</v>
      </c>
      <c r="BM99" s="4">
        <v>8285</v>
      </c>
      <c r="BN99" s="4"/>
      <c r="BO99" s="4">
        <v>66782.429999999993</v>
      </c>
      <c r="BP99" s="4">
        <v>66782.429999999993</v>
      </c>
      <c r="BQ99" s="4">
        <v>75067.429999999993</v>
      </c>
      <c r="BR99" s="4">
        <v>2481.91</v>
      </c>
      <c r="BS99" s="4">
        <v>2481.91</v>
      </c>
      <c r="BT99" s="4">
        <v>14670.41</v>
      </c>
      <c r="BU99" s="4">
        <v>14670.41</v>
      </c>
      <c r="BV99" s="4">
        <v>17152.32</v>
      </c>
      <c r="BW99" s="4"/>
      <c r="BX99" s="4"/>
      <c r="BY99" s="4"/>
      <c r="BZ99" s="4">
        <v>15155.16</v>
      </c>
      <c r="CA99" s="4">
        <v>15155.16</v>
      </c>
      <c r="CB99" s="4">
        <v>15155.16</v>
      </c>
      <c r="CC99" s="4">
        <v>1748381.5899999994</v>
      </c>
      <c r="CD99" s="1"/>
      <c r="CE99" s="1"/>
    </row>
    <row r="100" spans="4:83">
      <c r="D100" s="2">
        <v>42205</v>
      </c>
      <c r="E100" s="11">
        <f t="shared" si="30"/>
        <v>1831638.9299999997</v>
      </c>
      <c r="F100" s="4">
        <f t="shared" si="31"/>
        <v>1289796.6300000001</v>
      </c>
      <c r="G100" s="4">
        <f t="shared" ref="G100:G101" si="44">F100/E100</f>
        <v>0.70417624831767489</v>
      </c>
      <c r="H100" s="4">
        <f t="shared" si="42"/>
        <v>-48999.02</v>
      </c>
      <c r="I100" s="4">
        <f t="shared" si="43"/>
        <v>-36910.019999999997</v>
      </c>
      <c r="J100" s="4">
        <f t="shared" si="32"/>
        <v>-85909.04</v>
      </c>
      <c r="K100" s="4">
        <f t="shared" si="33"/>
        <v>111194.23</v>
      </c>
      <c r="L100" s="4">
        <f t="shared" si="34"/>
        <v>25285.190000000002</v>
      </c>
      <c r="M100" s="4">
        <f t="shared" ref="M100:M101" si="45">L100/E100</f>
        <v>1.3804680379882518E-2</v>
      </c>
      <c r="N100" s="4">
        <f t="shared" si="35"/>
        <v>111588.20000000001</v>
      </c>
      <c r="O100" s="4">
        <f t="shared" ref="O100:O101" si="46">N100/E100</f>
        <v>6.0922596791497564E-2</v>
      </c>
      <c r="P100" s="4">
        <f t="shared" si="36"/>
        <v>1401384.83</v>
      </c>
      <c r="Q100" s="4">
        <f t="shared" ref="Q100:Q101" si="47">P100/E100</f>
        <v>0.76509884510917237</v>
      </c>
      <c r="R100" s="4">
        <v>96</v>
      </c>
      <c r="S100" s="4">
        <f t="shared" si="37"/>
        <v>1384810.4664953854</v>
      </c>
      <c r="T100" s="4">
        <f t="shared" si="38"/>
        <v>0.75604992000000004</v>
      </c>
      <c r="U100" s="11">
        <f t="shared" si="39"/>
        <v>404968.90999999968</v>
      </c>
      <c r="V100" s="11">
        <f t="shared" si="40"/>
        <v>0.22109647451094511</v>
      </c>
      <c r="W100" s="11">
        <f t="shared" si="41"/>
        <v>0.24395007999999996</v>
      </c>
      <c r="Y100" s="3">
        <v>42205</v>
      </c>
      <c r="Z100" s="4"/>
      <c r="AA100" s="45">
        <v>57713.77</v>
      </c>
      <c r="AB100" s="4">
        <v>8714.75</v>
      </c>
      <c r="AC100" s="4">
        <v>8714.75</v>
      </c>
      <c r="AD100" s="4">
        <v>68005.45</v>
      </c>
      <c r="AE100" s="4">
        <v>68005.45</v>
      </c>
      <c r="AF100" s="4">
        <v>76720.2</v>
      </c>
      <c r="AG100" s="4"/>
      <c r="AH100" s="4"/>
      <c r="AI100" s="4">
        <v>518076.75</v>
      </c>
      <c r="AJ100" s="4">
        <v>518076.75</v>
      </c>
      <c r="AK100" s="4"/>
      <c r="AL100" s="4"/>
      <c r="AM100" s="4">
        <v>443554.47</v>
      </c>
      <c r="AN100" s="4">
        <v>443554.47</v>
      </c>
      <c r="AO100" s="4"/>
      <c r="AP100" s="4"/>
      <c r="AQ100" s="4">
        <v>224783.11</v>
      </c>
      <c r="AR100" s="4">
        <v>224783.11</v>
      </c>
      <c r="AS100" s="4"/>
      <c r="AT100" s="4"/>
      <c r="AU100" s="4"/>
      <c r="AV100" s="4"/>
      <c r="AW100" s="4"/>
      <c r="AX100" s="4">
        <v>103382.3</v>
      </c>
      <c r="AY100" s="4">
        <v>103382.3</v>
      </c>
      <c r="AZ100" s="4"/>
      <c r="BA100" s="4"/>
      <c r="BB100" s="4"/>
      <c r="BC100" s="4">
        <v>1289796.6300000001</v>
      </c>
      <c r="BD100" s="4"/>
      <c r="BE100" s="45">
        <v>43789.599999999999</v>
      </c>
      <c r="BF100" s="4">
        <v>6879.58</v>
      </c>
      <c r="BG100" s="4">
        <v>6879.58</v>
      </c>
      <c r="BH100" s="4"/>
      <c r="BI100" s="4">
        <v>43188.78</v>
      </c>
      <c r="BJ100" s="4">
        <v>43188.78</v>
      </c>
      <c r="BK100" s="4">
        <v>50068.36</v>
      </c>
      <c r="BL100" s="4">
        <v>7767.68</v>
      </c>
      <c r="BM100" s="4">
        <v>7767.68</v>
      </c>
      <c r="BN100" s="4"/>
      <c r="BO100" s="4">
        <v>71595.02</v>
      </c>
      <c r="BP100" s="4">
        <v>71595.02</v>
      </c>
      <c r="BQ100" s="4">
        <v>79362.700000000012</v>
      </c>
      <c r="BR100" s="4">
        <v>2544.73</v>
      </c>
      <c r="BS100" s="4">
        <v>2544.73</v>
      </c>
      <c r="BT100" s="4">
        <v>14663.79</v>
      </c>
      <c r="BU100" s="4">
        <v>14663.79</v>
      </c>
      <c r="BV100" s="4">
        <v>17208.52</v>
      </c>
      <c r="BW100" s="4"/>
      <c r="BX100" s="4"/>
      <c r="BY100" s="4"/>
      <c r="BZ100" s="4">
        <v>15016.98</v>
      </c>
      <c r="CA100" s="4">
        <v>15016.98</v>
      </c>
      <c r="CB100" s="4">
        <v>15016.98</v>
      </c>
      <c r="CC100" s="4">
        <v>1831638.9299999997</v>
      </c>
      <c r="CD100" s="1"/>
      <c r="CE100" s="1"/>
    </row>
    <row r="101" spans="4:83">
      <c r="D101" s="2">
        <v>42212</v>
      </c>
      <c r="E101" s="11">
        <f t="shared" si="30"/>
        <v>1842089.2299999997</v>
      </c>
      <c r="F101" s="4">
        <f t="shared" si="31"/>
        <v>1286566.55</v>
      </c>
      <c r="G101" s="4">
        <f t="shared" si="44"/>
        <v>0.69842792034563939</v>
      </c>
      <c r="H101" s="4">
        <f t="shared" si="42"/>
        <v>-51163.85</v>
      </c>
      <c r="I101" s="4">
        <f t="shared" si="43"/>
        <v>-38022.47</v>
      </c>
      <c r="J101" s="4">
        <f t="shared" si="32"/>
        <v>-89186.32</v>
      </c>
      <c r="K101" s="4">
        <f t="shared" si="33"/>
        <v>112799.2</v>
      </c>
      <c r="L101" s="4">
        <f t="shared" si="34"/>
        <v>23612.87999999999</v>
      </c>
      <c r="M101" s="4">
        <f t="shared" si="45"/>
        <v>1.281853214026988E-2</v>
      </c>
      <c r="N101" s="4">
        <f t="shared" si="35"/>
        <v>105920.53</v>
      </c>
      <c r="O101" s="4">
        <f t="shared" si="46"/>
        <v>5.7500216751172263E-2</v>
      </c>
      <c r="P101" s="4">
        <f t="shared" si="36"/>
        <v>1392487.08</v>
      </c>
      <c r="Q101" s="4">
        <f t="shared" si="47"/>
        <v>0.75592813709681173</v>
      </c>
      <c r="R101" s="4">
        <v>97</v>
      </c>
      <c r="S101" s="4">
        <f t="shared" ref="S101" si="48">E101*T101</f>
        <v>1393336.3805874237</v>
      </c>
      <c r="T101" s="4">
        <f t="shared" si="38"/>
        <v>0.75638919000000004</v>
      </c>
      <c r="U101" s="11">
        <f t="shared" si="39"/>
        <v>425989.26999999979</v>
      </c>
      <c r="V101" s="11">
        <f t="shared" si="40"/>
        <v>0.23125333076291849</v>
      </c>
      <c r="W101" s="11">
        <f t="shared" si="41"/>
        <v>0.24361080999999996</v>
      </c>
      <c r="Y101" s="3">
        <v>42212</v>
      </c>
      <c r="Z101" s="4"/>
      <c r="AA101" s="45">
        <v>60494.77</v>
      </c>
      <c r="AB101" s="4">
        <v>9330.92</v>
      </c>
      <c r="AC101" s="4">
        <v>9330.92</v>
      </c>
      <c r="AD101" s="4">
        <v>68278.98</v>
      </c>
      <c r="AE101" s="4">
        <v>68278.98</v>
      </c>
      <c r="AF101" s="4">
        <v>77609.899999999994</v>
      </c>
      <c r="AG101" s="4"/>
      <c r="AH101" s="4"/>
      <c r="AI101" s="4">
        <v>557945.37</v>
      </c>
      <c r="AJ101" s="4">
        <v>557945.37</v>
      </c>
      <c r="AK101" s="4"/>
      <c r="AL101" s="4"/>
      <c r="AM101" s="4">
        <v>412702.99</v>
      </c>
      <c r="AN101" s="4">
        <v>412702.99</v>
      </c>
      <c r="AO101" s="4"/>
      <c r="AP101" s="4"/>
      <c r="AQ101" s="4">
        <v>210007.97</v>
      </c>
      <c r="AR101" s="4">
        <v>210007.97</v>
      </c>
      <c r="AS101" s="4"/>
      <c r="AT101" s="4"/>
      <c r="AU101" s="4"/>
      <c r="AV101" s="4"/>
      <c r="AW101" s="4"/>
      <c r="AX101" s="4">
        <v>105910.22</v>
      </c>
      <c r="AY101" s="4">
        <v>105910.22</v>
      </c>
      <c r="AZ101" s="4"/>
      <c r="BA101" s="4"/>
      <c r="BB101" s="4"/>
      <c r="BC101" s="4">
        <v>1286566.55</v>
      </c>
      <c r="BD101" s="4"/>
      <c r="BE101" s="45">
        <v>45386.49</v>
      </c>
      <c r="BF101" s="4">
        <v>7364.02</v>
      </c>
      <c r="BG101" s="4">
        <v>7364.02</v>
      </c>
      <c r="BH101" s="4"/>
      <c r="BI101" s="4">
        <v>44520.22</v>
      </c>
      <c r="BJ101" s="4">
        <v>44520.22</v>
      </c>
      <c r="BK101" s="4">
        <v>51884.240000000005</v>
      </c>
      <c r="BL101" s="4">
        <v>7605.13</v>
      </c>
      <c r="BM101" s="4">
        <v>7605.13</v>
      </c>
      <c r="BN101" s="4"/>
      <c r="BO101" s="4">
        <v>66085.05</v>
      </c>
      <c r="BP101" s="4">
        <v>66085.05</v>
      </c>
      <c r="BQ101" s="4">
        <v>73690.180000000008</v>
      </c>
      <c r="BR101" s="4">
        <v>2383.84</v>
      </c>
      <c r="BS101" s="4">
        <v>2383.84</v>
      </c>
      <c r="BT101" s="4">
        <v>14822.19</v>
      </c>
      <c r="BU101" s="4">
        <v>14822.19</v>
      </c>
      <c r="BV101" s="4">
        <v>17206.03</v>
      </c>
      <c r="BW101" s="4"/>
      <c r="BX101" s="4"/>
      <c r="BY101" s="4"/>
      <c r="BZ101" s="4">
        <v>15024.32</v>
      </c>
      <c r="CA101" s="4">
        <v>15024.32</v>
      </c>
      <c r="CB101" s="4">
        <v>15024.32</v>
      </c>
      <c r="CC101" s="4">
        <v>1842089.2299999997</v>
      </c>
      <c r="CD101" s="1"/>
      <c r="CE101" s="1"/>
    </row>
    <row r="102" spans="4:83" s="4" customFormat="1">
      <c r="D102" s="2"/>
      <c r="E102" s="11"/>
      <c r="U102" s="11"/>
      <c r="V102" s="11"/>
      <c r="W102" s="11"/>
      <c r="Y102" s="3"/>
      <c r="AA102" s="45">
        <v>63272.99</v>
      </c>
      <c r="BE102" s="45">
        <v>48171.69</v>
      </c>
      <c r="CD102" s="1"/>
      <c r="CE102" s="1"/>
    </row>
    <row r="103" spans="4:83" s="4" customFormat="1">
      <c r="D103" s="2"/>
      <c r="E103" s="11"/>
      <c r="U103" s="11"/>
      <c r="V103" s="11"/>
      <c r="W103" s="11"/>
      <c r="Y103" s="3"/>
      <c r="AA103" s="45">
        <v>64430.559999999998</v>
      </c>
      <c r="BE103" s="45">
        <v>48501.09</v>
      </c>
      <c r="CD103" s="1"/>
      <c r="CE103" s="1"/>
    </row>
    <row r="104" spans="4:83">
      <c r="D104" s="2">
        <v>42219</v>
      </c>
      <c r="E104" s="11">
        <f t="shared" si="30"/>
        <v>1762034.64</v>
      </c>
      <c r="F104" s="4">
        <f t="shared" si="31"/>
        <v>1212041</v>
      </c>
      <c r="G104" s="4">
        <f t="shared" ref="G104:G111" si="49">F104/E104</f>
        <v>0.6878644565126143</v>
      </c>
      <c r="H104" s="4">
        <f t="shared" si="42"/>
        <v>-55416.86</v>
      </c>
      <c r="I104" s="4">
        <f t="shared" si="43"/>
        <v>-41226.480000000003</v>
      </c>
      <c r="J104" s="4">
        <f t="shared" si="32"/>
        <v>-96643.34</v>
      </c>
      <c r="K104" s="4">
        <f t="shared" si="33"/>
        <v>124174.81</v>
      </c>
      <c r="L104" s="4">
        <f t="shared" si="34"/>
        <v>27531.47</v>
      </c>
      <c r="M104" s="4">
        <f t="shared" ref="M104:M111" si="50">L104/E104</f>
        <v>1.5624817682358391E-2</v>
      </c>
      <c r="N104" s="4">
        <f t="shared" si="35"/>
        <v>111309.12</v>
      </c>
      <c r="O104" s="4">
        <f t="shared" ref="O104:O111" si="51">N104/E104</f>
        <v>6.3170789877320457E-2</v>
      </c>
      <c r="P104" s="4">
        <f t="shared" si="36"/>
        <v>1323350.1200000001</v>
      </c>
      <c r="Q104" s="4">
        <f t="shared" ref="Q104:Q111" si="52">P104/E104</f>
        <v>0.75103524638993491</v>
      </c>
      <c r="R104" s="4">
        <v>98</v>
      </c>
      <c r="S104" s="4">
        <f t="shared" ref="S104:S110" si="53">E104*T104</f>
        <v>1333381.7595938544</v>
      </c>
      <c r="T104" s="4">
        <f t="shared" ref="T104:T110" si="54">$B$9+$B$10*R104</f>
        <v>0.75672846000000005</v>
      </c>
      <c r="U104" s="11">
        <f t="shared" ref="U104:U111" si="55">E104-(F104+L104+N104)</f>
        <v>411153.05000000005</v>
      </c>
      <c r="V104" s="11">
        <f t="shared" si="40"/>
        <v>0.23333993592770688</v>
      </c>
      <c r="W104" s="11">
        <f t="shared" si="41"/>
        <v>0.24327153999999995</v>
      </c>
      <c r="Y104" s="3">
        <v>42219</v>
      </c>
      <c r="Z104" s="4"/>
      <c r="AA104" s="45">
        <v>64293.02</v>
      </c>
      <c r="AB104" s="4">
        <v>8876.16</v>
      </c>
      <c r="AC104" s="4">
        <v>8876.16</v>
      </c>
      <c r="AD104" s="4">
        <v>74863.22</v>
      </c>
      <c r="AE104" s="4">
        <v>74863.22</v>
      </c>
      <c r="AF104" s="4">
        <v>83739.38</v>
      </c>
      <c r="AG104" s="4"/>
      <c r="AH104" s="4"/>
      <c r="AI104" s="4">
        <v>443198.78</v>
      </c>
      <c r="AJ104" s="4">
        <v>443198.78</v>
      </c>
      <c r="AK104" s="4"/>
      <c r="AL104" s="4"/>
      <c r="AM104" s="4">
        <v>511574.98</v>
      </c>
      <c r="AN104" s="4">
        <v>511574.98</v>
      </c>
      <c r="AO104" s="4"/>
      <c r="AP104" s="4"/>
      <c r="AQ104" s="4">
        <v>160075.78</v>
      </c>
      <c r="AR104" s="4">
        <v>160075.78</v>
      </c>
      <c r="AS104" s="4"/>
      <c r="AT104" s="4"/>
      <c r="AU104" s="4"/>
      <c r="AV104" s="4"/>
      <c r="AW104" s="4"/>
      <c r="AX104" s="4">
        <v>97191.46</v>
      </c>
      <c r="AY104" s="4">
        <v>97191.46</v>
      </c>
      <c r="AZ104" s="4"/>
      <c r="BA104" s="4"/>
      <c r="BB104" s="4"/>
      <c r="BC104" s="4">
        <v>1212041</v>
      </c>
      <c r="BD104" s="4"/>
      <c r="BE104" s="45">
        <v>47948.65</v>
      </c>
      <c r="BF104" s="4">
        <v>6722.17</v>
      </c>
      <c r="BG104" s="4">
        <v>6722.17</v>
      </c>
      <c r="BH104" s="4"/>
      <c r="BI104" s="4">
        <v>49311.59</v>
      </c>
      <c r="BJ104" s="4">
        <v>49311.59</v>
      </c>
      <c r="BK104" s="4">
        <v>56033.759999999995</v>
      </c>
      <c r="BL104" s="4">
        <v>5812.74</v>
      </c>
      <c r="BM104" s="4">
        <v>5812.74</v>
      </c>
      <c r="BN104" s="4"/>
      <c r="BO104" s="4">
        <v>72857.009999999995</v>
      </c>
      <c r="BP104" s="4">
        <v>72857.009999999995</v>
      </c>
      <c r="BQ104" s="4">
        <v>78669.75</v>
      </c>
      <c r="BR104" s="4">
        <v>1727.51</v>
      </c>
      <c r="BS104" s="4">
        <v>1727.51</v>
      </c>
      <c r="BT104" s="4">
        <v>15271.86</v>
      </c>
      <c r="BU104" s="4">
        <v>15271.86</v>
      </c>
      <c r="BV104" s="4">
        <v>16999.37</v>
      </c>
      <c r="BW104" s="4"/>
      <c r="BX104" s="4"/>
      <c r="BY104" s="4"/>
      <c r="BZ104" s="4">
        <v>15640</v>
      </c>
      <c r="CA104" s="4">
        <v>15640</v>
      </c>
      <c r="CB104" s="4">
        <v>15640</v>
      </c>
      <c r="CC104" s="4">
        <v>1762034.64</v>
      </c>
      <c r="CD104" s="1"/>
      <c r="CE104" s="1"/>
    </row>
    <row r="105" spans="4:83">
      <c r="D105" s="2">
        <v>42226</v>
      </c>
      <c r="E105" s="11">
        <f t="shared" si="30"/>
        <v>1743831.02</v>
      </c>
      <c r="F105" s="4">
        <f t="shared" si="31"/>
        <v>1206338.2</v>
      </c>
      <c r="G105" s="4">
        <f t="shared" si="49"/>
        <v>0.69177471106116684</v>
      </c>
      <c r="H105" s="4">
        <f t="shared" si="42"/>
        <v>-63828.09</v>
      </c>
      <c r="I105" s="4">
        <f t="shared" si="43"/>
        <v>-48988.060000000005</v>
      </c>
      <c r="J105" s="4">
        <f t="shared" si="32"/>
        <v>-112816.15</v>
      </c>
      <c r="K105" s="4">
        <f t="shared" si="33"/>
        <v>118676.52</v>
      </c>
      <c r="L105" s="4">
        <f t="shared" si="34"/>
        <v>5860.3700000000099</v>
      </c>
      <c r="M105" s="4">
        <f t="shared" si="50"/>
        <v>3.3606295178761126E-3</v>
      </c>
      <c r="N105" s="4">
        <f t="shared" si="35"/>
        <v>106122.29999999999</v>
      </c>
      <c r="O105" s="4">
        <f t="shared" si="51"/>
        <v>6.0855839116796984E-2</v>
      </c>
      <c r="P105" s="4">
        <f t="shared" si="36"/>
        <v>1312460.5</v>
      </c>
      <c r="Q105" s="4">
        <f t="shared" si="52"/>
        <v>0.75263055017796388</v>
      </c>
      <c r="R105" s="4">
        <v>99</v>
      </c>
      <c r="S105" s="4">
        <f t="shared" si="53"/>
        <v>1320198.1918149847</v>
      </c>
      <c r="T105" s="4">
        <f t="shared" si="54"/>
        <v>0.75706773000000005</v>
      </c>
      <c r="U105" s="11">
        <f t="shared" si="55"/>
        <v>425510.14999999991</v>
      </c>
      <c r="V105" s="11">
        <f t="shared" si="40"/>
        <v>0.24400882030415991</v>
      </c>
      <c r="W105" s="11">
        <f t="shared" si="41"/>
        <v>0.24293226999999995</v>
      </c>
      <c r="Y105" s="3">
        <v>42226</v>
      </c>
      <c r="Z105" s="4"/>
      <c r="AA105" s="45">
        <v>72701.61</v>
      </c>
      <c r="AB105" s="4">
        <v>8873.52</v>
      </c>
      <c r="AC105" s="4">
        <v>8873.52</v>
      </c>
      <c r="AD105" s="4">
        <v>71195.850000000006</v>
      </c>
      <c r="AE105" s="4">
        <v>71195.850000000006</v>
      </c>
      <c r="AF105" s="4">
        <v>80069.37000000001</v>
      </c>
      <c r="AG105" s="4"/>
      <c r="AH105" s="4"/>
      <c r="AI105" s="4">
        <v>462351.29</v>
      </c>
      <c r="AJ105" s="4">
        <v>462351.29</v>
      </c>
      <c r="AK105" s="4"/>
      <c r="AL105" s="4"/>
      <c r="AM105" s="4">
        <v>477184.85</v>
      </c>
      <c r="AN105" s="4">
        <v>477184.85</v>
      </c>
      <c r="AO105" s="4"/>
      <c r="AP105" s="4"/>
      <c r="AQ105" s="4">
        <v>165396.07999999999</v>
      </c>
      <c r="AR105" s="4">
        <v>165396.07999999999</v>
      </c>
      <c r="AS105" s="4"/>
      <c r="AT105" s="4"/>
      <c r="AU105" s="4"/>
      <c r="AV105" s="4"/>
      <c r="AW105" s="4"/>
      <c r="AX105" s="4">
        <v>101405.98</v>
      </c>
      <c r="AY105" s="4">
        <v>101405.98</v>
      </c>
      <c r="AZ105" s="4"/>
      <c r="BA105" s="4"/>
      <c r="BB105" s="4"/>
      <c r="BC105" s="4">
        <v>1206338.2</v>
      </c>
      <c r="BD105" s="4"/>
      <c r="BE105" s="45">
        <v>55692.23</v>
      </c>
      <c r="BF105" s="4">
        <v>6704.17</v>
      </c>
      <c r="BG105" s="4">
        <v>6704.17</v>
      </c>
      <c r="BH105" s="4"/>
      <c r="BI105" s="4">
        <v>47480.67</v>
      </c>
      <c r="BJ105" s="4">
        <v>47480.67</v>
      </c>
      <c r="BK105" s="4">
        <v>54184.84</v>
      </c>
      <c r="BL105" s="4">
        <v>8112.97</v>
      </c>
      <c r="BM105" s="4">
        <v>8112.97</v>
      </c>
      <c r="BN105" s="4"/>
      <c r="BO105" s="4">
        <v>68719.039999999994</v>
      </c>
      <c r="BP105" s="4">
        <v>68719.039999999994</v>
      </c>
      <c r="BQ105" s="4">
        <v>76832.009999999995</v>
      </c>
      <c r="BR105" s="4">
        <v>1503.03</v>
      </c>
      <c r="BS105" s="4">
        <v>1503.03</v>
      </c>
      <c r="BT105" s="4">
        <v>13342.73</v>
      </c>
      <c r="BU105" s="4">
        <v>13342.73</v>
      </c>
      <c r="BV105" s="4">
        <v>14845.76</v>
      </c>
      <c r="BW105" s="4"/>
      <c r="BX105" s="4"/>
      <c r="BY105" s="4"/>
      <c r="BZ105" s="4">
        <v>14444.53</v>
      </c>
      <c r="CA105" s="4">
        <v>14444.53</v>
      </c>
      <c r="CB105" s="4">
        <v>14444.53</v>
      </c>
      <c r="CC105" s="4">
        <v>1743831.02</v>
      </c>
      <c r="CD105" s="1"/>
      <c r="CE105" s="1"/>
    </row>
    <row r="106" spans="4:83">
      <c r="D106" s="2">
        <v>42233</v>
      </c>
      <c r="E106" s="11">
        <f t="shared" si="30"/>
        <v>1732478.27</v>
      </c>
      <c r="F106" s="4">
        <f t="shared" si="31"/>
        <v>1201985.8999999999</v>
      </c>
      <c r="G106" s="4">
        <f t="shared" si="49"/>
        <v>0.6937956572465408</v>
      </c>
      <c r="H106" s="4">
        <f t="shared" si="42"/>
        <v>-41737.33</v>
      </c>
      <c r="I106" s="4">
        <f t="shared" si="43"/>
        <v>-31202.319999999996</v>
      </c>
      <c r="J106" s="4">
        <f t="shared" si="32"/>
        <v>-72939.649999999994</v>
      </c>
      <c r="K106" s="4">
        <f t="shared" si="33"/>
        <v>115474.44</v>
      </c>
      <c r="L106" s="4">
        <f t="shared" si="34"/>
        <v>42534.790000000008</v>
      </c>
      <c r="M106" s="4">
        <f t="shared" si="50"/>
        <v>2.4551413276889186E-2</v>
      </c>
      <c r="N106" s="4">
        <f t="shared" si="35"/>
        <v>97431.98000000001</v>
      </c>
      <c r="O106" s="4">
        <f t="shared" si="51"/>
        <v>5.6238500469041962E-2</v>
      </c>
      <c r="P106" s="4">
        <f t="shared" si="36"/>
        <v>1299417.8799999999</v>
      </c>
      <c r="Q106" s="4">
        <f t="shared" si="52"/>
        <v>0.75003415771558268</v>
      </c>
      <c r="R106" s="4">
        <v>100</v>
      </c>
      <c r="S106" s="4">
        <f t="shared" si="53"/>
        <v>1312191.1690458902</v>
      </c>
      <c r="T106" s="4">
        <f t="shared" si="54"/>
        <v>0.75740700000000005</v>
      </c>
      <c r="U106" s="11">
        <f t="shared" si="55"/>
        <v>390525.60000000009</v>
      </c>
      <c r="V106" s="11">
        <f t="shared" si="40"/>
        <v>0.22541442900752809</v>
      </c>
      <c r="W106" s="11">
        <f t="shared" si="41"/>
        <v>0.24259299999999995</v>
      </c>
      <c r="Y106" s="3">
        <v>42233</v>
      </c>
      <c r="Z106" s="4"/>
      <c r="AA106" s="45">
        <v>51074.83</v>
      </c>
      <c r="AB106" s="4">
        <v>9337.5</v>
      </c>
      <c r="AC106" s="4">
        <v>9337.5</v>
      </c>
      <c r="AD106" s="4">
        <v>69477.38</v>
      </c>
      <c r="AE106" s="4">
        <v>69477.38</v>
      </c>
      <c r="AF106" s="4">
        <v>78814.880000000005</v>
      </c>
      <c r="AG106" s="4"/>
      <c r="AH106" s="4"/>
      <c r="AI106" s="4">
        <v>475713.12</v>
      </c>
      <c r="AJ106" s="4">
        <v>475713.12</v>
      </c>
      <c r="AK106" s="4"/>
      <c r="AL106" s="4"/>
      <c r="AM106" s="4">
        <v>454158.51</v>
      </c>
      <c r="AN106" s="4">
        <v>454158.51</v>
      </c>
      <c r="AO106" s="4"/>
      <c r="AP106" s="4"/>
      <c r="AQ106" s="4">
        <v>167771.35999999999</v>
      </c>
      <c r="AR106" s="4">
        <v>167771.35999999999</v>
      </c>
      <c r="AS106" s="4"/>
      <c r="AT106" s="4"/>
      <c r="AU106" s="4"/>
      <c r="AV106" s="4"/>
      <c r="AW106" s="4"/>
      <c r="AX106" s="4">
        <v>104342.91</v>
      </c>
      <c r="AY106" s="4">
        <v>104342.91</v>
      </c>
      <c r="AZ106" s="4"/>
      <c r="BA106" s="4"/>
      <c r="BB106" s="4"/>
      <c r="BC106" s="4">
        <v>1201985.8999999999</v>
      </c>
      <c r="BD106" s="4"/>
      <c r="BE106" s="45">
        <v>38367.519999999997</v>
      </c>
      <c r="BF106" s="4">
        <v>7165.2</v>
      </c>
      <c r="BG106" s="4">
        <v>7165.2</v>
      </c>
      <c r="BH106" s="4"/>
      <c r="BI106" s="4">
        <v>45997.06</v>
      </c>
      <c r="BJ106" s="4">
        <v>45997.06</v>
      </c>
      <c r="BK106" s="4">
        <v>53162.259999999995</v>
      </c>
      <c r="BL106" s="4">
        <v>8068.19</v>
      </c>
      <c r="BM106" s="4">
        <v>8068.19</v>
      </c>
      <c r="BN106" s="4"/>
      <c r="BO106" s="4">
        <v>65949.63</v>
      </c>
      <c r="BP106" s="4">
        <v>65949.63</v>
      </c>
      <c r="BQ106" s="4">
        <v>74017.820000000007</v>
      </c>
      <c r="BR106" s="4">
        <v>-77.7</v>
      </c>
      <c r="BS106" s="4">
        <v>-77.7</v>
      </c>
      <c r="BT106" s="4">
        <v>10770.42</v>
      </c>
      <c r="BU106" s="4">
        <v>10770.42</v>
      </c>
      <c r="BV106" s="4">
        <v>10692.72</v>
      </c>
      <c r="BW106" s="4"/>
      <c r="BX106" s="4"/>
      <c r="BY106" s="4"/>
      <c r="BZ106" s="4">
        <v>12721.44</v>
      </c>
      <c r="CA106" s="4">
        <v>12721.44</v>
      </c>
      <c r="CB106" s="4">
        <v>12721.44</v>
      </c>
      <c r="CC106" s="4">
        <v>1732478.27</v>
      </c>
      <c r="CD106" s="1"/>
      <c r="CE106" s="1"/>
    </row>
    <row r="107" spans="4:83">
      <c r="D107" s="2">
        <v>42240</v>
      </c>
      <c r="E107" s="11">
        <f t="shared" si="30"/>
        <v>1910385</v>
      </c>
      <c r="F107" s="4">
        <f t="shared" si="31"/>
        <v>1349814.08</v>
      </c>
      <c r="G107" s="4">
        <f t="shared" si="49"/>
        <v>0.70656651931416969</v>
      </c>
      <c r="H107" s="4">
        <f t="shared" si="42"/>
        <v>-49651.05</v>
      </c>
      <c r="I107" s="4">
        <f t="shared" si="43"/>
        <v>-36729.54</v>
      </c>
      <c r="J107" s="4">
        <f t="shared" si="32"/>
        <v>-86380.59</v>
      </c>
      <c r="K107" s="4">
        <f t="shared" si="33"/>
        <v>122819.02</v>
      </c>
      <c r="L107" s="4">
        <f t="shared" si="34"/>
        <v>36438.430000000008</v>
      </c>
      <c r="M107" s="4">
        <f t="shared" si="50"/>
        <v>1.9073867309469038E-2</v>
      </c>
      <c r="N107" s="4">
        <f t="shared" si="35"/>
        <v>100164.39</v>
      </c>
      <c r="O107" s="4">
        <f t="shared" si="51"/>
        <v>5.2431520347992679E-2</v>
      </c>
      <c r="P107" s="4">
        <f t="shared" si="36"/>
        <v>1449978.47</v>
      </c>
      <c r="Q107" s="4">
        <f t="shared" si="52"/>
        <v>0.75899803966216228</v>
      </c>
      <c r="R107" s="4">
        <v>101</v>
      </c>
      <c r="S107" s="4">
        <f t="shared" si="53"/>
        <v>1447587.1080139501</v>
      </c>
      <c r="T107" s="4">
        <f t="shared" si="54"/>
        <v>0.75774627000000006</v>
      </c>
      <c r="U107" s="11">
        <f t="shared" si="55"/>
        <v>423968.10000000009</v>
      </c>
      <c r="V107" s="11">
        <f t="shared" si="40"/>
        <v>0.22192809302836869</v>
      </c>
      <c r="W107" s="11">
        <f t="shared" si="41"/>
        <v>0.24225372999999994</v>
      </c>
      <c r="Y107" s="3">
        <v>42240</v>
      </c>
      <c r="Z107" s="4"/>
      <c r="AA107" s="45">
        <v>59058.58</v>
      </c>
      <c r="AB107" s="4">
        <v>9407.5300000000007</v>
      </c>
      <c r="AC107" s="4">
        <v>9407.5300000000007</v>
      </c>
      <c r="AD107" s="4">
        <v>74099.3</v>
      </c>
      <c r="AE107" s="4">
        <v>74099.3</v>
      </c>
      <c r="AF107" s="4">
        <v>83506.83</v>
      </c>
      <c r="AG107" s="4"/>
      <c r="AH107" s="4"/>
      <c r="AI107" s="4">
        <v>573731.04</v>
      </c>
      <c r="AJ107" s="4">
        <v>573731.04</v>
      </c>
      <c r="AK107" s="4"/>
      <c r="AL107" s="4"/>
      <c r="AM107" s="4">
        <v>501790.37</v>
      </c>
      <c r="AN107" s="4">
        <v>501790.37</v>
      </c>
      <c r="AO107" s="4"/>
      <c r="AP107" s="4"/>
      <c r="AQ107" s="4">
        <v>169646.96</v>
      </c>
      <c r="AR107" s="4">
        <v>169646.96</v>
      </c>
      <c r="AS107" s="4"/>
      <c r="AT107" s="4"/>
      <c r="AU107" s="4"/>
      <c r="AV107" s="4"/>
      <c r="AW107" s="4"/>
      <c r="AX107" s="4">
        <v>104645.71</v>
      </c>
      <c r="AY107" s="4">
        <v>104645.71</v>
      </c>
      <c r="AZ107" s="4"/>
      <c r="BA107" s="4"/>
      <c r="BB107" s="4"/>
      <c r="BC107" s="4">
        <v>1349814.08</v>
      </c>
      <c r="BD107" s="4"/>
      <c r="BE107" s="45">
        <v>43979.48</v>
      </c>
      <c r="BF107" s="4">
        <v>7249.94</v>
      </c>
      <c r="BG107" s="4">
        <v>7249.94</v>
      </c>
      <c r="BH107" s="4"/>
      <c r="BI107" s="4">
        <v>48719.72</v>
      </c>
      <c r="BJ107" s="4">
        <v>48719.72</v>
      </c>
      <c r="BK107" s="4">
        <v>55969.66</v>
      </c>
      <c r="BL107" s="4">
        <v>9128.23</v>
      </c>
      <c r="BM107" s="4">
        <v>9128.23</v>
      </c>
      <c r="BN107" s="4"/>
      <c r="BO107" s="4">
        <v>69939.09</v>
      </c>
      <c r="BP107" s="4">
        <v>69939.09</v>
      </c>
      <c r="BQ107" s="4">
        <v>79067.319999999992</v>
      </c>
      <c r="BR107" s="4">
        <v>-1151.31</v>
      </c>
      <c r="BS107" s="4">
        <v>-1151.31</v>
      </c>
      <c r="BT107" s="4">
        <v>9987.49</v>
      </c>
      <c r="BU107" s="4">
        <v>9987.49</v>
      </c>
      <c r="BV107" s="4">
        <v>8836.18</v>
      </c>
      <c r="BW107" s="4"/>
      <c r="BX107" s="4"/>
      <c r="BY107" s="4"/>
      <c r="BZ107" s="4">
        <v>12260.89</v>
      </c>
      <c r="CA107" s="4">
        <v>12260.89</v>
      </c>
      <c r="CB107" s="4">
        <v>12260.89</v>
      </c>
      <c r="CC107" s="4">
        <v>1910385</v>
      </c>
      <c r="CD107" s="1"/>
      <c r="CE107" s="1"/>
    </row>
    <row r="108" spans="4:83">
      <c r="D108" s="2">
        <v>42247</v>
      </c>
      <c r="E108" s="11">
        <f t="shared" si="30"/>
        <v>1872433.3000000003</v>
      </c>
      <c r="F108" s="4">
        <f t="shared" si="31"/>
        <v>1321999.8500000001</v>
      </c>
      <c r="G108" s="4">
        <f t="shared" si="49"/>
        <v>0.70603308005684362</v>
      </c>
      <c r="H108" s="4">
        <f t="shared" si="42"/>
        <v>-48670.090000000004</v>
      </c>
      <c r="I108" s="4">
        <f t="shared" si="43"/>
        <v>6967.48</v>
      </c>
      <c r="J108" s="4">
        <f t="shared" si="32"/>
        <v>-41702.61</v>
      </c>
      <c r="K108" s="4">
        <f t="shared" si="33"/>
        <v>109712.65</v>
      </c>
      <c r="L108" s="4">
        <f t="shared" si="34"/>
        <v>68010.039999999994</v>
      </c>
      <c r="M108" s="4">
        <f t="shared" si="50"/>
        <v>3.6321742408661491E-2</v>
      </c>
      <c r="N108" s="4">
        <f t="shared" si="35"/>
        <v>90472.24000000002</v>
      </c>
      <c r="O108" s="4">
        <f t="shared" si="51"/>
        <v>4.8318004171363546E-2</v>
      </c>
      <c r="P108" s="4">
        <f t="shared" si="36"/>
        <v>1412472.09</v>
      </c>
      <c r="Q108" s="4">
        <f t="shared" si="52"/>
        <v>0.75435108422820718</v>
      </c>
      <c r="R108" s="4">
        <v>102</v>
      </c>
      <c r="S108" s="4">
        <f t="shared" si="53"/>
        <v>1419464.6093444824</v>
      </c>
      <c r="T108" s="4">
        <f t="shared" si="54"/>
        <v>0.75808554000000006</v>
      </c>
      <c r="U108" s="11">
        <f t="shared" si="55"/>
        <v>391951.17000000016</v>
      </c>
      <c r="V108" s="11">
        <f t="shared" si="40"/>
        <v>0.20932717336313134</v>
      </c>
      <c r="W108" s="11">
        <f t="shared" si="41"/>
        <v>0.24191445999999994</v>
      </c>
      <c r="Y108" s="3">
        <v>42247</v>
      </c>
      <c r="Z108" s="4"/>
      <c r="AA108" s="45">
        <v>57433.97</v>
      </c>
      <c r="AB108" s="4">
        <v>8763.8799999999992</v>
      </c>
      <c r="AC108" s="4">
        <v>8763.8799999999992</v>
      </c>
      <c r="AD108" s="4">
        <v>66521.47</v>
      </c>
      <c r="AE108" s="4">
        <v>66521.47</v>
      </c>
      <c r="AF108" s="4">
        <v>75285.350000000006</v>
      </c>
      <c r="AG108" s="4"/>
      <c r="AH108" s="4"/>
      <c r="AI108" s="4">
        <v>610821.26</v>
      </c>
      <c r="AJ108" s="4">
        <v>610821.26</v>
      </c>
      <c r="AK108" s="4"/>
      <c r="AL108" s="4"/>
      <c r="AM108" s="4">
        <v>392523.94</v>
      </c>
      <c r="AN108" s="4">
        <v>392523.94</v>
      </c>
      <c r="AO108" s="4"/>
      <c r="AP108" s="4"/>
      <c r="AQ108" s="4">
        <v>204860.05</v>
      </c>
      <c r="AR108" s="4">
        <v>204860.05</v>
      </c>
      <c r="AS108" s="4"/>
      <c r="AT108" s="4"/>
      <c r="AU108" s="4"/>
      <c r="AV108" s="4"/>
      <c r="AW108" s="4"/>
      <c r="AX108" s="4">
        <v>113794.6</v>
      </c>
      <c r="AY108" s="4">
        <v>113794.6</v>
      </c>
      <c r="AZ108" s="4"/>
      <c r="BA108" s="4"/>
      <c r="BB108" s="4"/>
      <c r="BC108" s="4">
        <v>1321999.8500000001</v>
      </c>
      <c r="BD108" s="4"/>
      <c r="BE108" s="4"/>
      <c r="BF108" s="4">
        <v>6967.48</v>
      </c>
      <c r="BG108" s="4">
        <v>6967.48</v>
      </c>
      <c r="BH108" s="4"/>
      <c r="BI108" s="4">
        <v>43191.18</v>
      </c>
      <c r="BJ108" s="4">
        <v>43191.18</v>
      </c>
      <c r="BK108" s="4">
        <v>50158.66</v>
      </c>
      <c r="BL108" s="4">
        <v>10322.59</v>
      </c>
      <c r="BM108" s="4">
        <v>10322.59</v>
      </c>
      <c r="BN108" s="4"/>
      <c r="BO108" s="4">
        <v>62503.37</v>
      </c>
      <c r="BP108" s="4">
        <v>62503.37</v>
      </c>
      <c r="BQ108" s="4">
        <v>72825.960000000006</v>
      </c>
      <c r="BR108" s="4">
        <v>-2929.68</v>
      </c>
      <c r="BS108" s="4">
        <v>-2929.68</v>
      </c>
      <c r="BT108" s="4">
        <v>9386.0300000000007</v>
      </c>
      <c r="BU108" s="4">
        <v>9386.0300000000007</v>
      </c>
      <c r="BV108" s="4">
        <v>6456.35</v>
      </c>
      <c r="BW108" s="4"/>
      <c r="BX108" s="4"/>
      <c r="BY108" s="4"/>
      <c r="BZ108" s="4">
        <v>11189.93</v>
      </c>
      <c r="CA108" s="4">
        <v>11189.93</v>
      </c>
      <c r="CB108" s="4">
        <v>11189.93</v>
      </c>
      <c r="CC108" s="4">
        <v>1872433.3000000003</v>
      </c>
      <c r="CD108" s="1"/>
      <c r="CE108" s="1"/>
    </row>
    <row r="109" spans="4:83">
      <c r="D109" s="2">
        <v>42254</v>
      </c>
      <c r="E109" s="11">
        <f t="shared" si="30"/>
        <v>1396654.4600000004</v>
      </c>
      <c r="F109" s="4">
        <f t="shared" si="31"/>
        <v>965591.55999999994</v>
      </c>
      <c r="G109" s="4">
        <f t="shared" si="49"/>
        <v>0.69136038129287869</v>
      </c>
      <c r="H109" s="4">
        <f t="shared" si="42"/>
        <v>7973.12</v>
      </c>
      <c r="I109" s="4">
        <f t="shared" si="43"/>
        <v>6289.47</v>
      </c>
      <c r="J109" s="4">
        <f t="shared" si="32"/>
        <v>14262.59</v>
      </c>
      <c r="K109" s="4">
        <f t="shared" si="33"/>
        <v>87438.48000000001</v>
      </c>
      <c r="L109" s="4">
        <f t="shared" si="34"/>
        <v>101701.07</v>
      </c>
      <c r="M109" s="4">
        <f t="shared" si="50"/>
        <v>7.2817631642403499E-2</v>
      </c>
      <c r="N109" s="4">
        <f t="shared" si="35"/>
        <v>87676.68</v>
      </c>
      <c r="O109" s="4">
        <f t="shared" si="51"/>
        <v>6.2776214526247223E-2</v>
      </c>
      <c r="P109" s="4">
        <f t="shared" si="36"/>
        <v>1053268.24</v>
      </c>
      <c r="Q109" s="4">
        <f t="shared" si="52"/>
        <v>0.75413659581912595</v>
      </c>
      <c r="R109" s="4">
        <v>103</v>
      </c>
      <c r="S109" s="4">
        <f t="shared" si="53"/>
        <v>1059257.3934611529</v>
      </c>
      <c r="T109" s="4">
        <f t="shared" si="54"/>
        <v>0.75842481000000006</v>
      </c>
      <c r="U109" s="11">
        <f t="shared" si="55"/>
        <v>241685.15000000061</v>
      </c>
      <c r="V109" s="11">
        <f t="shared" si="40"/>
        <v>0.17304577253847064</v>
      </c>
      <c r="W109" s="11">
        <f t="shared" si="41"/>
        <v>0.24157518999999994</v>
      </c>
      <c r="Y109" s="3">
        <v>42254</v>
      </c>
      <c r="Z109" s="4"/>
      <c r="AA109" s="4"/>
      <c r="AB109" s="4">
        <v>7973.12</v>
      </c>
      <c r="AC109" s="4">
        <v>7973.12</v>
      </c>
      <c r="AD109" s="4">
        <v>53170.25</v>
      </c>
      <c r="AE109" s="4">
        <v>53170.25</v>
      </c>
      <c r="AF109" s="4">
        <v>61143.37</v>
      </c>
      <c r="AG109" s="4"/>
      <c r="AH109" s="4"/>
      <c r="AI109" s="4">
        <v>415297.48</v>
      </c>
      <c r="AJ109" s="4">
        <v>415297.48</v>
      </c>
      <c r="AK109" s="4"/>
      <c r="AL109" s="4"/>
      <c r="AM109" s="4">
        <v>294899.90999999997</v>
      </c>
      <c r="AN109" s="4">
        <v>294899.90999999997</v>
      </c>
      <c r="AO109" s="4"/>
      <c r="AP109" s="4"/>
      <c r="AQ109" s="4">
        <v>162039.01</v>
      </c>
      <c r="AR109" s="4">
        <v>162039.01</v>
      </c>
      <c r="AS109" s="4"/>
      <c r="AT109" s="4"/>
      <c r="AU109" s="4"/>
      <c r="AV109" s="4"/>
      <c r="AW109" s="4"/>
      <c r="AX109" s="4">
        <v>93355.16</v>
      </c>
      <c r="AY109" s="4">
        <v>93355.16</v>
      </c>
      <c r="AZ109" s="4"/>
      <c r="BA109" s="4"/>
      <c r="BB109" s="4"/>
      <c r="BC109" s="4">
        <v>965591.55999999994</v>
      </c>
      <c r="BD109" s="4"/>
      <c r="BE109" s="4"/>
      <c r="BF109" s="4">
        <v>6289.47</v>
      </c>
      <c r="BG109" s="4">
        <v>6289.47</v>
      </c>
      <c r="BH109" s="4"/>
      <c r="BI109" s="4">
        <v>34268.230000000003</v>
      </c>
      <c r="BJ109" s="4">
        <v>34268.230000000003</v>
      </c>
      <c r="BK109" s="4">
        <v>40557.700000000004</v>
      </c>
      <c r="BL109" s="4">
        <v>20493.400000000001</v>
      </c>
      <c r="BM109" s="4">
        <v>20493.400000000001</v>
      </c>
      <c r="BN109" s="4"/>
      <c r="BO109" s="4">
        <v>49537.97</v>
      </c>
      <c r="BP109" s="4">
        <v>49537.97</v>
      </c>
      <c r="BQ109" s="4">
        <v>70031.37</v>
      </c>
      <c r="BR109" s="4">
        <v>-955.58</v>
      </c>
      <c r="BS109" s="4">
        <v>-955.58</v>
      </c>
      <c r="BT109" s="4">
        <v>9067.36</v>
      </c>
      <c r="BU109" s="4">
        <v>9067.36</v>
      </c>
      <c r="BV109" s="4">
        <v>8111.7800000000007</v>
      </c>
      <c r="BW109" s="4"/>
      <c r="BX109" s="4"/>
      <c r="BY109" s="4"/>
      <c r="BZ109" s="4">
        <v>9533.5300000000007</v>
      </c>
      <c r="CA109" s="4">
        <v>9533.5300000000007</v>
      </c>
      <c r="CB109" s="4">
        <v>9533.5300000000007</v>
      </c>
      <c r="CC109" s="4">
        <v>1396654.4600000004</v>
      </c>
      <c r="CE109" s="4"/>
    </row>
    <row r="110" spans="4:83">
      <c r="D110" s="2">
        <v>42261</v>
      </c>
      <c r="E110" s="11">
        <f t="shared" si="30"/>
        <v>1301049.8</v>
      </c>
      <c r="F110" s="4">
        <f t="shared" si="31"/>
        <v>905298.86999999988</v>
      </c>
      <c r="G110" s="4">
        <f t="shared" si="49"/>
        <v>0.69582184325304064</v>
      </c>
      <c r="H110" s="4">
        <f t="shared" si="42"/>
        <v>7063.12</v>
      </c>
      <c r="I110" s="4">
        <f t="shared" si="43"/>
        <v>5278.73</v>
      </c>
      <c r="J110" s="4">
        <f t="shared" si="32"/>
        <v>12341.849999999999</v>
      </c>
      <c r="K110" s="4">
        <f t="shared" si="33"/>
        <v>86209.09</v>
      </c>
      <c r="L110" s="4">
        <f t="shared" si="34"/>
        <v>98550.94</v>
      </c>
      <c r="M110" s="4">
        <f t="shared" si="50"/>
        <v>7.5747246569654744E-2</v>
      </c>
      <c r="N110" s="4">
        <f t="shared" si="35"/>
        <v>64054.78</v>
      </c>
      <c r="O110" s="4">
        <f t="shared" si="51"/>
        <v>4.9233150030075709E-2</v>
      </c>
      <c r="P110" s="4">
        <f t="shared" si="36"/>
        <v>969353.64999999991</v>
      </c>
      <c r="Q110" s="4">
        <f t="shared" si="52"/>
        <v>0.74505499328311631</v>
      </c>
      <c r="R110" s="4">
        <v>104</v>
      </c>
      <c r="S110" s="4">
        <f t="shared" si="53"/>
        <v>987189.85453118407</v>
      </c>
      <c r="T110" s="4">
        <f t="shared" si="54"/>
        <v>0.75876408000000006</v>
      </c>
      <c r="U110" s="11">
        <f t="shared" si="55"/>
        <v>233145.2100000002</v>
      </c>
      <c r="V110" s="11">
        <f t="shared" si="40"/>
        <v>0.17919776014722893</v>
      </c>
      <c r="W110" s="11">
        <f t="shared" si="41"/>
        <v>0.24123591999999994</v>
      </c>
      <c r="Y110" s="3">
        <v>42261</v>
      </c>
      <c r="Z110" s="4"/>
      <c r="AA110" s="4"/>
      <c r="AB110" s="4">
        <v>7063.12</v>
      </c>
      <c r="AC110" s="4">
        <v>7063.12</v>
      </c>
      <c r="AD110" s="4">
        <v>52292.75</v>
      </c>
      <c r="AE110" s="4">
        <v>52292.75</v>
      </c>
      <c r="AF110" s="4">
        <v>59355.87</v>
      </c>
      <c r="AG110" s="4"/>
      <c r="AH110" s="4"/>
      <c r="AI110" s="4">
        <v>381566.63</v>
      </c>
      <c r="AJ110" s="4">
        <v>381566.63</v>
      </c>
      <c r="AK110" s="4"/>
      <c r="AL110" s="4"/>
      <c r="AM110" s="4">
        <v>285854.28999999998</v>
      </c>
      <c r="AN110" s="4">
        <v>285854.28999999998</v>
      </c>
      <c r="AO110" s="4"/>
      <c r="AP110" s="4"/>
      <c r="AQ110" s="4">
        <v>150323.62</v>
      </c>
      <c r="AR110" s="4">
        <v>150323.62</v>
      </c>
      <c r="AS110" s="4"/>
      <c r="AT110" s="4"/>
      <c r="AU110" s="4"/>
      <c r="AV110" s="4"/>
      <c r="AW110" s="4"/>
      <c r="AX110" s="4">
        <v>87554.33</v>
      </c>
      <c r="AY110" s="4">
        <v>87554.33</v>
      </c>
      <c r="AZ110" s="4"/>
      <c r="BA110" s="4"/>
      <c r="BB110" s="4"/>
      <c r="BC110" s="4">
        <v>905298.86999999988</v>
      </c>
      <c r="BD110" s="4"/>
      <c r="BE110" s="4"/>
      <c r="BF110" s="4">
        <v>5278.73</v>
      </c>
      <c r="BG110" s="4">
        <v>5278.73</v>
      </c>
      <c r="BH110" s="4"/>
      <c r="BI110" s="4">
        <v>33916.339999999997</v>
      </c>
      <c r="BJ110" s="4">
        <v>33916.339999999997</v>
      </c>
      <c r="BK110" s="4">
        <v>39195.069999999992</v>
      </c>
      <c r="BL110" s="4">
        <v>9521.61</v>
      </c>
      <c r="BM110" s="4">
        <v>9521.61</v>
      </c>
      <c r="BN110" s="4"/>
      <c r="BO110" s="4">
        <v>47281.43</v>
      </c>
      <c r="BP110" s="4">
        <v>47281.43</v>
      </c>
      <c r="BQ110" s="4">
        <v>56803.040000000001</v>
      </c>
      <c r="BR110" s="4">
        <v>-1836.6</v>
      </c>
      <c r="BS110" s="4">
        <v>-1836.6</v>
      </c>
      <c r="BT110" s="4">
        <v>3003.55</v>
      </c>
      <c r="BU110" s="4">
        <v>3003.55</v>
      </c>
      <c r="BV110" s="4">
        <v>1166.9500000000003</v>
      </c>
      <c r="BW110" s="4"/>
      <c r="BX110" s="4"/>
      <c r="BY110" s="4"/>
      <c r="BZ110" s="4">
        <v>6084.79</v>
      </c>
      <c r="CA110" s="4">
        <v>6084.79</v>
      </c>
      <c r="CB110" s="4">
        <v>6084.79</v>
      </c>
      <c r="CC110" s="4">
        <v>1301049.8</v>
      </c>
    </row>
    <row r="111" spans="4:83" s="5" customFormat="1">
      <c r="D111" s="5" t="s">
        <v>16</v>
      </c>
      <c r="E111" s="25">
        <f t="shared" si="30"/>
        <v>160794290.19</v>
      </c>
      <c r="F111" s="5">
        <f t="shared" si="31"/>
        <v>115121608.23</v>
      </c>
      <c r="G111" s="5">
        <f t="shared" si="49"/>
        <v>0.71595582214995568</v>
      </c>
      <c r="H111" s="5">
        <f t="shared" si="42"/>
        <v>322304.91000000038</v>
      </c>
      <c r="I111" s="5">
        <f t="shared" si="43"/>
        <v>243157.66000000085</v>
      </c>
      <c r="J111" s="5">
        <f t="shared" si="32"/>
        <v>565462.57000000123</v>
      </c>
      <c r="K111" s="5">
        <f t="shared" si="33"/>
        <v>3757692.55</v>
      </c>
      <c r="L111" s="5">
        <f t="shared" si="34"/>
        <v>4323155.120000001</v>
      </c>
      <c r="M111" s="5">
        <f t="shared" si="50"/>
        <v>2.6886247732376654E-2</v>
      </c>
      <c r="N111" s="5">
        <f t="shared" si="35"/>
        <v>4519741.12</v>
      </c>
      <c r="O111" s="5">
        <f t="shared" si="51"/>
        <v>2.810884089639825E-2</v>
      </c>
      <c r="P111" s="5">
        <f t="shared" si="36"/>
        <v>119641349.35000001</v>
      </c>
      <c r="Q111" s="5">
        <f t="shared" si="52"/>
        <v>0.74406466304635399</v>
      </c>
      <c r="U111" s="25">
        <f t="shared" si="55"/>
        <v>36829785.719999984</v>
      </c>
      <c r="V111" s="25">
        <f t="shared" si="40"/>
        <v>0.22904908922126935</v>
      </c>
      <c r="W111" s="11"/>
      <c r="Y111" s="26" t="s">
        <v>16</v>
      </c>
      <c r="Z111" s="5">
        <v>802991.96999999974</v>
      </c>
      <c r="AA111" s="5">
        <v>2927061.879999999</v>
      </c>
      <c r="AB111" s="5">
        <v>470645.9</v>
      </c>
      <c r="AC111" s="5">
        <v>4200699.7499999991</v>
      </c>
      <c r="AD111" s="5">
        <v>2213684.2799999998</v>
      </c>
      <c r="AE111" s="5">
        <v>2213684.2799999998</v>
      </c>
      <c r="AF111" s="5">
        <v>6414384.0299999984</v>
      </c>
      <c r="AG111" s="5">
        <v>6191190.4699999988</v>
      </c>
      <c r="AH111" s="5">
        <v>24835208.269999996</v>
      </c>
      <c r="AI111" s="5">
        <v>17979421.549999997</v>
      </c>
      <c r="AJ111" s="5">
        <v>49005820.289999992</v>
      </c>
      <c r="AK111" s="5">
        <v>4874612.45</v>
      </c>
      <c r="AL111" s="5">
        <v>18833661.349999998</v>
      </c>
      <c r="AM111" s="5">
        <v>14227013.199999997</v>
      </c>
      <c r="AN111" s="5">
        <v>37935286.999999985</v>
      </c>
      <c r="AO111" s="5">
        <v>2469639.3800000004</v>
      </c>
      <c r="AP111" s="5">
        <v>9092236.379999999</v>
      </c>
      <c r="AQ111" s="5">
        <v>6594535.9200000009</v>
      </c>
      <c r="AR111" s="5">
        <v>18156411.68</v>
      </c>
      <c r="AS111" s="5">
        <v>67949.720000000016</v>
      </c>
      <c r="AT111" s="5">
        <v>53339.98</v>
      </c>
      <c r="AU111" s="5">
        <v>121289.70000000004</v>
      </c>
      <c r="AV111" s="5">
        <v>1220599.1700000002</v>
      </c>
      <c r="AW111" s="5">
        <v>4841776.959999999</v>
      </c>
      <c r="AX111" s="5">
        <v>3840425.8000000007</v>
      </c>
      <c r="AY111" s="5">
        <v>9902801.9300000053</v>
      </c>
      <c r="AZ111" s="5">
        <v>-1.1600000000000001</v>
      </c>
      <c r="BA111" s="5">
        <v>-1.21</v>
      </c>
      <c r="BB111" s="5">
        <v>-2.37</v>
      </c>
      <c r="BC111" s="5">
        <v>115121608.23</v>
      </c>
      <c r="BD111" s="5">
        <v>617834.65</v>
      </c>
      <c r="BE111" s="5">
        <v>2218963.98</v>
      </c>
      <c r="BF111" s="5">
        <v>354308.29</v>
      </c>
      <c r="BG111" s="5">
        <v>3191106.9200000009</v>
      </c>
      <c r="BH111" s="5">
        <v>-1.18</v>
      </c>
      <c r="BI111" s="5">
        <v>1544009.45</v>
      </c>
      <c r="BJ111" s="5">
        <v>1544008.27</v>
      </c>
      <c r="BK111" s="5">
        <v>4735115.1900000004</v>
      </c>
      <c r="BL111" s="5">
        <v>334516.27</v>
      </c>
      <c r="BM111" s="5">
        <v>334516.27</v>
      </c>
      <c r="BN111" s="5">
        <v>165552.12000000002</v>
      </c>
      <c r="BO111" s="5">
        <v>2410773.09</v>
      </c>
      <c r="BP111" s="5">
        <v>2576325.2099999995</v>
      </c>
      <c r="BQ111" s="5">
        <v>2910841.48</v>
      </c>
      <c r="BR111" s="5">
        <v>117816.37</v>
      </c>
      <c r="BS111" s="5">
        <v>117816.37</v>
      </c>
      <c r="BT111" s="5">
        <v>737195.57000000007</v>
      </c>
      <c r="BU111" s="5">
        <v>737195.57000000007</v>
      </c>
      <c r="BV111" s="5">
        <v>855011.93999999971</v>
      </c>
      <c r="BW111" s="5">
        <v>0</v>
      </c>
      <c r="BX111" s="5">
        <v>0</v>
      </c>
      <c r="BY111" s="5">
        <v>0</v>
      </c>
      <c r="BZ111" s="5">
        <v>753887.70000000007</v>
      </c>
      <c r="CA111" s="5">
        <v>753887.70000000007</v>
      </c>
      <c r="CB111" s="5">
        <v>753887.70000000007</v>
      </c>
      <c r="CC111" s="5">
        <v>160794290.19</v>
      </c>
      <c r="CD111" s="5">
        <v>148340.99</v>
      </c>
      <c r="CE111" s="5">
        <v>111150.63</v>
      </c>
    </row>
    <row r="112" spans="4:83" s="5" customFormat="1">
      <c r="E112" s="25"/>
      <c r="U112" s="25"/>
      <c r="V112" s="25"/>
      <c r="W112" s="25"/>
      <c r="Y112" s="26"/>
    </row>
    <row r="113" spans="4:23" ht="42">
      <c r="D113" s="15" t="s">
        <v>17</v>
      </c>
      <c r="E113" s="4" t="s">
        <v>16</v>
      </c>
      <c r="F113" s="14" t="s">
        <v>53</v>
      </c>
      <c r="G113" s="23" t="s">
        <v>63</v>
      </c>
      <c r="H113" s="13" t="s">
        <v>56</v>
      </c>
      <c r="I113" s="13" t="s">
        <v>57</v>
      </c>
      <c r="J113" s="13" t="s">
        <v>55</v>
      </c>
      <c r="K113" s="13" t="s">
        <v>24</v>
      </c>
      <c r="L113" s="14" t="s">
        <v>66</v>
      </c>
      <c r="M113" s="23" t="s">
        <v>67</v>
      </c>
      <c r="N113" s="14" t="s">
        <v>68</v>
      </c>
      <c r="O113" s="23" t="s">
        <v>69</v>
      </c>
      <c r="P113" s="13" t="s">
        <v>35</v>
      </c>
      <c r="Q113" s="13" t="s">
        <v>65</v>
      </c>
      <c r="R113" s="13" t="s">
        <v>54</v>
      </c>
      <c r="S113" s="14" t="s">
        <v>36</v>
      </c>
      <c r="T113" s="23" t="s">
        <v>64</v>
      </c>
      <c r="U113" s="24" t="s">
        <v>77</v>
      </c>
      <c r="V113" s="13" t="s">
        <v>81</v>
      </c>
      <c r="W113" s="13"/>
    </row>
    <row r="114" spans="4:23">
      <c r="D114" s="27" t="s">
        <v>84</v>
      </c>
      <c r="E114" s="11">
        <f>SUM(E5:E75)</f>
        <v>104006928.13000001</v>
      </c>
      <c r="F114" s="11">
        <f>SUM(F5:F75)</f>
        <v>76508278.640000015</v>
      </c>
      <c r="G114" s="27">
        <f>F114/E114</f>
        <v>0.73560752168712296</v>
      </c>
      <c r="L114" s="11">
        <f>SUM(L5:L75)</f>
        <v>-335123.31</v>
      </c>
      <c r="M114" s="27">
        <f>L114/E114</f>
        <v>-3.2221248721154782E-3</v>
      </c>
      <c r="N114" s="11">
        <f>SUM(N5:N75)</f>
        <v>165561.01</v>
      </c>
      <c r="O114" s="27">
        <f>N114/E114</f>
        <v>1.5918267463208078E-3</v>
      </c>
      <c r="U114" s="11">
        <f>SUM(U5:U75)</f>
        <v>27668211.790000018</v>
      </c>
      <c r="V114" s="28">
        <f>U114/E114</f>
        <v>0.266022776438672</v>
      </c>
      <c r="W114" s="28"/>
    </row>
    <row r="115" spans="4:23">
      <c r="D115" s="27" t="s">
        <v>85</v>
      </c>
      <c r="E115" s="4">
        <f>SUM(E76:E101)</f>
        <v>44762001.019999996</v>
      </c>
      <c r="F115" s="4">
        <f>SUM(F76:F101)</f>
        <v>30221707.98</v>
      </c>
      <c r="G115" s="27">
        <f>F115/E115</f>
        <v>0.67516436466941498</v>
      </c>
      <c r="L115" s="4">
        <f>SUM(L76:L101)</f>
        <v>778885.32</v>
      </c>
      <c r="M115" s="27">
        <f>L115/E115</f>
        <v>1.7400592070314018E-2</v>
      </c>
      <c r="N115" s="4">
        <f>SUM(N76:N101)</f>
        <v>3696948.6200000006</v>
      </c>
      <c r="O115" s="27">
        <f>N115/E115</f>
        <v>8.2591227732383463E-2</v>
      </c>
      <c r="U115" s="4">
        <f>SUM(U76:U101)</f>
        <v>10064459.1</v>
      </c>
      <c r="V115" s="28">
        <f>U115/E115</f>
        <v>0.22484381552788768</v>
      </c>
      <c r="W115" s="28"/>
    </row>
  </sheetData>
  <phoneticPr fontId="10" type="noConversion"/>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9" tint="-0.249977111117893"/>
  </sheetPr>
  <dimension ref="A1:BZ115"/>
  <sheetViews>
    <sheetView topLeftCell="L1" workbookViewId="0">
      <selection activeCell="U4" sqref="U4"/>
    </sheetView>
  </sheetViews>
  <sheetFormatPr baseColWidth="10" defaultColWidth="8.83203125" defaultRowHeight="14" x14ac:dyDescent="0"/>
  <cols>
    <col min="1" max="1" width="36.33203125" style="4" bestFit="1" customWidth="1"/>
    <col min="2" max="2" width="12" style="4" bestFit="1" customWidth="1"/>
    <col min="3" max="3" width="12" style="4" customWidth="1"/>
    <col min="4" max="4" width="14.83203125" style="3" bestFit="1" customWidth="1"/>
    <col min="5" max="5" width="11.1640625" style="4" bestFit="1" customWidth="1"/>
    <col min="6" max="6" width="11.1640625" style="4" customWidth="1"/>
    <col min="7" max="7" width="16.6640625" style="4" customWidth="1"/>
    <col min="8" max="8" width="12.1640625" style="4" customWidth="1"/>
    <col min="9" max="9" width="12" style="4" customWidth="1"/>
    <col min="10" max="12" width="8.83203125" style="4"/>
    <col min="13" max="13" width="13.83203125" style="4" customWidth="1"/>
    <col min="14" max="14" width="12.83203125" style="4" customWidth="1"/>
    <col min="15" max="15" width="13.5" style="4" customWidth="1"/>
    <col min="16" max="16" width="8.83203125" style="4"/>
    <col min="17" max="17" width="12.5" style="4" customWidth="1"/>
    <col min="18" max="19" width="8.83203125" style="4"/>
    <col min="20" max="20" width="14.83203125" style="4" customWidth="1"/>
    <col min="21" max="21" width="13.33203125" style="4" bestFit="1" customWidth="1"/>
    <col min="22" max="22" width="13.33203125" style="11" customWidth="1"/>
    <col min="23" max="23" width="8.83203125" style="4"/>
    <col min="24" max="24" width="10.6640625" style="3" bestFit="1" customWidth="1"/>
    <col min="28" max="28" width="17.5" bestFit="1" customWidth="1"/>
    <col min="31" max="31" width="20.83203125" bestFit="1" customWidth="1"/>
    <col min="32" max="32" width="16.6640625" bestFit="1" customWidth="1"/>
    <col min="54" max="54" width="21.83203125" bestFit="1" customWidth="1"/>
    <col min="55" max="55" width="15" bestFit="1" customWidth="1"/>
    <col min="56" max="56" width="11" bestFit="1" customWidth="1"/>
    <col min="57" max="57" width="9" bestFit="1" customWidth="1"/>
    <col min="58" max="58" width="17.5" bestFit="1" customWidth="1"/>
    <col min="59" max="59" width="11.83203125" bestFit="1" customWidth="1"/>
    <col min="61" max="61" width="20" bestFit="1" customWidth="1"/>
    <col min="62" max="62" width="18.6640625" bestFit="1" customWidth="1"/>
    <col min="63" max="63" width="17.5" bestFit="1" customWidth="1"/>
    <col min="64" max="64" width="11.83203125" bestFit="1" customWidth="1"/>
    <col min="65" max="65" width="11" bestFit="1" customWidth="1"/>
    <col min="66" max="66" width="16.83203125" bestFit="1" customWidth="1"/>
    <col min="67" max="67" width="23.6640625" bestFit="1" customWidth="1"/>
    <col min="68" max="68" width="33.83203125" bestFit="1" customWidth="1"/>
    <col min="69" max="69" width="17.5" bestFit="1" customWidth="1"/>
    <col min="70" max="70" width="11.83203125" bestFit="1" customWidth="1"/>
    <col min="71" max="71" width="16.83203125" bestFit="1" customWidth="1"/>
    <col min="72" max="72" width="38.83203125" bestFit="1" customWidth="1"/>
    <col min="73" max="73" width="28.6640625" bestFit="1" customWidth="1"/>
    <col min="74" max="74" width="16.83203125" bestFit="1" customWidth="1"/>
    <col min="75" max="75" width="33.83203125" bestFit="1" customWidth="1"/>
  </cols>
  <sheetData>
    <row r="1" spans="1:78" ht="15" thickBot="1">
      <c r="A1" s="4" t="s">
        <v>38</v>
      </c>
      <c r="E1" s="11"/>
      <c r="F1" s="11"/>
      <c r="G1" s="11"/>
      <c r="H1" s="11"/>
      <c r="I1" s="11"/>
      <c r="J1" s="11"/>
      <c r="K1" s="11"/>
      <c r="L1" s="11"/>
      <c r="M1" s="11"/>
      <c r="N1" s="11"/>
      <c r="O1" s="11"/>
      <c r="P1" s="11"/>
      <c r="Q1" s="11"/>
      <c r="R1" s="11"/>
      <c r="S1" s="11"/>
      <c r="T1" s="11"/>
      <c r="U1" s="11"/>
      <c r="Y1" t="s">
        <v>0</v>
      </c>
      <c r="AE1" t="s">
        <v>18</v>
      </c>
      <c r="AF1" t="s">
        <v>2</v>
      </c>
      <c r="BB1" t="s">
        <v>19</v>
      </c>
      <c r="BC1" t="s">
        <v>7</v>
      </c>
      <c r="BI1" t="s">
        <v>20</v>
      </c>
      <c r="BJ1" t="s">
        <v>10</v>
      </c>
      <c r="BO1" t="s">
        <v>21</v>
      </c>
      <c r="BP1" t="s">
        <v>12</v>
      </c>
      <c r="BT1" t="s">
        <v>22</v>
      </c>
      <c r="BU1" t="s">
        <v>11</v>
      </c>
      <c r="BW1" t="s">
        <v>23</v>
      </c>
      <c r="BX1" t="s">
        <v>16</v>
      </c>
      <c r="BY1" s="11" t="s">
        <v>80</v>
      </c>
      <c r="BZ1" s="11" t="s">
        <v>78</v>
      </c>
    </row>
    <row r="2" spans="1:78" ht="16" thickTop="1" thickBot="1">
      <c r="E2" s="16"/>
      <c r="F2" s="16"/>
      <c r="G2" s="11"/>
      <c r="H2" s="16"/>
      <c r="I2" s="16"/>
      <c r="J2" s="11"/>
      <c r="K2" s="16"/>
      <c r="N2" s="16"/>
      <c r="O2" s="11"/>
      <c r="P2" s="11"/>
      <c r="Q2" s="11"/>
      <c r="R2" s="11"/>
      <c r="S2" s="11"/>
      <c r="T2" s="11"/>
      <c r="U2" s="16"/>
      <c r="V2" s="16"/>
      <c r="Y2" t="s">
        <v>1</v>
      </c>
      <c r="AB2" t="s">
        <v>47</v>
      </c>
      <c r="AC2" t="s">
        <v>3</v>
      </c>
      <c r="AD2" t="s">
        <v>48</v>
      </c>
      <c r="AF2" t="s">
        <v>1</v>
      </c>
      <c r="AI2" t="s">
        <v>47</v>
      </c>
      <c r="AJ2" t="s">
        <v>3</v>
      </c>
      <c r="AM2" t="s">
        <v>48</v>
      </c>
      <c r="AN2" t="s">
        <v>4</v>
      </c>
      <c r="AQ2" t="s">
        <v>49</v>
      </c>
      <c r="AR2" t="s">
        <v>5</v>
      </c>
      <c r="AT2" t="s">
        <v>50</v>
      </c>
      <c r="AU2" t="s">
        <v>6</v>
      </c>
      <c r="AX2" t="s">
        <v>51</v>
      </c>
      <c r="AY2" t="s">
        <v>8</v>
      </c>
      <c r="BA2" t="s">
        <v>52</v>
      </c>
      <c r="BC2" t="s">
        <v>1</v>
      </c>
      <c r="BF2" t="s">
        <v>47</v>
      </c>
      <c r="BG2" t="s">
        <v>3</v>
      </c>
      <c r="BH2" t="s">
        <v>48</v>
      </c>
      <c r="BJ2" t="s">
        <v>1</v>
      </c>
      <c r="BK2" t="s">
        <v>47</v>
      </c>
      <c r="BL2" t="s">
        <v>3</v>
      </c>
      <c r="BN2" t="s">
        <v>48</v>
      </c>
      <c r="BP2" t="s">
        <v>1</v>
      </c>
      <c r="BQ2" t="s">
        <v>47</v>
      </c>
      <c r="BR2" t="s">
        <v>3</v>
      </c>
      <c r="BS2" t="s">
        <v>48</v>
      </c>
      <c r="BU2" t="s">
        <v>3</v>
      </c>
      <c r="BV2" t="s">
        <v>48</v>
      </c>
      <c r="BY2" s="11" t="s">
        <v>9</v>
      </c>
      <c r="BZ2" s="11" t="s">
        <v>9</v>
      </c>
    </row>
    <row r="3" spans="1:78" ht="43" thickTop="1">
      <c r="A3" s="5" t="s">
        <v>26</v>
      </c>
      <c r="D3" s="15" t="s">
        <v>17</v>
      </c>
      <c r="E3" s="4" t="s">
        <v>16</v>
      </c>
      <c r="F3" s="14" t="s">
        <v>53</v>
      </c>
      <c r="G3" s="23" t="s">
        <v>63</v>
      </c>
      <c r="H3" s="13" t="s">
        <v>56</v>
      </c>
      <c r="I3" s="13" t="s">
        <v>57</v>
      </c>
      <c r="J3" s="13" t="s">
        <v>55</v>
      </c>
      <c r="K3" s="13" t="s">
        <v>24</v>
      </c>
      <c r="L3" s="14" t="s">
        <v>66</v>
      </c>
      <c r="M3" s="23" t="s">
        <v>67</v>
      </c>
      <c r="N3" s="14" t="s">
        <v>68</v>
      </c>
      <c r="O3" s="23" t="s">
        <v>69</v>
      </c>
      <c r="P3" s="13" t="s">
        <v>35</v>
      </c>
      <c r="Q3" s="13" t="s">
        <v>65</v>
      </c>
      <c r="R3" s="13" t="s">
        <v>54</v>
      </c>
      <c r="S3" s="14" t="s">
        <v>36</v>
      </c>
      <c r="T3" s="23" t="s">
        <v>64</v>
      </c>
      <c r="U3" s="24" t="s">
        <v>77</v>
      </c>
      <c r="V3" s="13" t="s">
        <v>81</v>
      </c>
      <c r="X3" s="4" t="s">
        <v>17</v>
      </c>
      <c r="Y3">
        <v>2013</v>
      </c>
      <c r="Z3">
        <v>2014</v>
      </c>
      <c r="AA3">
        <v>2015</v>
      </c>
      <c r="AC3">
        <v>2015</v>
      </c>
      <c r="AF3">
        <v>2013</v>
      </c>
      <c r="AG3">
        <v>2014</v>
      </c>
      <c r="AH3">
        <v>2015</v>
      </c>
      <c r="AJ3">
        <v>2013</v>
      </c>
      <c r="AK3">
        <v>2014</v>
      </c>
      <c r="AL3">
        <v>2015</v>
      </c>
      <c r="AN3">
        <v>2013</v>
      </c>
      <c r="AO3">
        <v>2014</v>
      </c>
      <c r="AP3">
        <v>2015</v>
      </c>
      <c r="AR3">
        <v>2013</v>
      </c>
      <c r="AS3">
        <v>2014</v>
      </c>
      <c r="AU3">
        <v>2013</v>
      </c>
      <c r="AV3">
        <v>2014</v>
      </c>
      <c r="AW3">
        <v>2015</v>
      </c>
      <c r="AY3">
        <v>2013</v>
      </c>
      <c r="AZ3">
        <v>2014</v>
      </c>
      <c r="BC3">
        <v>2013</v>
      </c>
      <c r="BD3">
        <v>2014</v>
      </c>
      <c r="BE3">
        <v>2015</v>
      </c>
      <c r="BG3">
        <v>2015</v>
      </c>
      <c r="BJ3">
        <v>2015</v>
      </c>
      <c r="BL3">
        <v>2014</v>
      </c>
      <c r="BM3">
        <v>2015</v>
      </c>
      <c r="BP3">
        <v>2015</v>
      </c>
      <c r="BR3">
        <v>2015</v>
      </c>
      <c r="BU3">
        <v>2015</v>
      </c>
      <c r="BY3" s="11">
        <v>2015</v>
      </c>
      <c r="BZ3" s="11" t="s">
        <v>79</v>
      </c>
    </row>
    <row r="4" spans="1:78">
      <c r="A4" s="4" t="s">
        <v>27</v>
      </c>
      <c r="B4" s="17">
        <v>71</v>
      </c>
      <c r="D4" s="3">
        <v>41519</v>
      </c>
      <c r="E4" s="11">
        <f>BX4</f>
        <v>163083.30999999997</v>
      </c>
      <c r="F4" s="4">
        <f>BB4</f>
        <v>121146.73</v>
      </c>
      <c r="G4" s="4">
        <f>F4/E4</f>
        <v>0.7428517976486988</v>
      </c>
      <c r="H4" s="4">
        <f t="shared" ref="H4:H67" si="0">AB4-Z4-Y4-BY4</f>
        <v>0</v>
      </c>
      <c r="I4" s="4">
        <f t="shared" ref="I4:I67" si="1">BF4-BD4-BC4-BZ4</f>
        <v>0</v>
      </c>
      <c r="J4" s="4">
        <f>SUM(H4:I4)</f>
        <v>0</v>
      </c>
      <c r="K4" s="4">
        <f>SUM(AD4,BH4)</f>
        <v>0</v>
      </c>
      <c r="L4" s="4">
        <f>SUM(J4:K4)</f>
        <v>0</v>
      </c>
      <c r="M4" s="4">
        <f>L4/E4</f>
        <v>0</v>
      </c>
      <c r="N4" s="4">
        <f>SUM(BO4,BT4,BW4)</f>
        <v>0</v>
      </c>
      <c r="O4" s="4">
        <f>N4/E4</f>
        <v>0</v>
      </c>
      <c r="P4" s="4">
        <f t="shared" ref="P4:P35" si="2">SUM(F4,N4)</f>
        <v>121146.73</v>
      </c>
      <c r="Q4" s="4">
        <f t="shared" ref="Q4:Q35" si="3">P4/E4</f>
        <v>0.7428517976486988</v>
      </c>
      <c r="U4" s="11">
        <f>E4-SUM(F4,L4,N4)</f>
        <v>41936.579999999973</v>
      </c>
      <c r="V4" s="11">
        <f>U4/E4</f>
        <v>0.2571482023513012</v>
      </c>
      <c r="X4" s="3">
        <v>41519</v>
      </c>
      <c r="Y4">
        <v>6830.46</v>
      </c>
      <c r="AB4">
        <v>6830.46</v>
      </c>
      <c r="AE4">
        <v>6830.46</v>
      </c>
      <c r="AF4">
        <v>34713.089999999997</v>
      </c>
      <c r="AI4">
        <v>34713.089999999997</v>
      </c>
      <c r="AJ4">
        <v>47501.01</v>
      </c>
      <c r="AM4">
        <v>47501.01</v>
      </c>
      <c r="AN4">
        <v>25637.4</v>
      </c>
      <c r="AQ4">
        <v>25637.4</v>
      </c>
      <c r="AR4">
        <v>751.79</v>
      </c>
      <c r="AT4">
        <v>751.79</v>
      </c>
      <c r="AU4">
        <v>12543.44</v>
      </c>
      <c r="AX4">
        <v>12543.44</v>
      </c>
      <c r="BB4">
        <v>121146.73</v>
      </c>
      <c r="BC4">
        <v>5078.18</v>
      </c>
      <c r="BF4">
        <v>5078.18</v>
      </c>
      <c r="BI4">
        <v>5078.18</v>
      </c>
      <c r="BX4">
        <v>163083.30999999997</v>
      </c>
      <c r="BY4" s="1"/>
      <c r="BZ4" s="1"/>
    </row>
    <row r="5" spans="1:78">
      <c r="A5" s="4" t="s">
        <v>28</v>
      </c>
      <c r="B5" s="17">
        <v>71</v>
      </c>
      <c r="C5" s="17"/>
      <c r="D5" s="3">
        <v>41526</v>
      </c>
      <c r="E5" s="11">
        <f t="shared" ref="E5:E68" si="4">BX5</f>
        <v>823032.9</v>
      </c>
      <c r="F5" s="4">
        <f t="shared" ref="F5:F68" si="5">BB5</f>
        <v>616059.41999999993</v>
      </c>
      <c r="G5" s="4">
        <f t="shared" ref="G5:G68" si="6">F5/E5</f>
        <v>0.74852344298751594</v>
      </c>
      <c r="H5" s="4">
        <f t="shared" si="0"/>
        <v>0</v>
      </c>
      <c r="I5" s="4">
        <f t="shared" si="1"/>
        <v>0</v>
      </c>
      <c r="J5" s="4">
        <f t="shared" ref="J5:J68" si="7">SUM(H5:I5)</f>
        <v>0</v>
      </c>
      <c r="K5" s="4">
        <f t="shared" ref="K5:K68" si="8">SUM(AD5,BH5)</f>
        <v>0</v>
      </c>
      <c r="L5" s="4">
        <f t="shared" ref="L5:L68" si="9">SUM(J5:K5)</f>
        <v>0</v>
      </c>
      <c r="M5" s="4">
        <f t="shared" ref="M5:M68" si="10">L5/E5</f>
        <v>0</v>
      </c>
      <c r="N5" s="4">
        <f t="shared" ref="N5:N68" si="11">SUM(BO5,BT5,BW5)</f>
        <v>0</v>
      </c>
      <c r="O5" s="4">
        <f t="shared" ref="O5:O68" si="12">N5/E5</f>
        <v>0</v>
      </c>
      <c r="P5" s="4">
        <f t="shared" si="2"/>
        <v>616059.41999999993</v>
      </c>
      <c r="Q5" s="4">
        <f t="shared" si="3"/>
        <v>0.74852344298751594</v>
      </c>
      <c r="U5" s="11">
        <f t="shared" ref="U5:U68" si="13">E5-SUM(F5,L5,N5)</f>
        <v>206973.4800000001</v>
      </c>
      <c r="V5" s="11">
        <f t="shared" ref="V5:V68" si="14">U5/E5</f>
        <v>0.25147655701248406</v>
      </c>
      <c r="X5" s="3">
        <v>41526</v>
      </c>
      <c r="Y5">
        <v>35306.589999999997</v>
      </c>
      <c r="AB5">
        <v>35306.589999999997</v>
      </c>
      <c r="AE5">
        <v>35306.589999999997</v>
      </c>
      <c r="AF5">
        <v>178331.78</v>
      </c>
      <c r="AI5">
        <v>178331.78</v>
      </c>
      <c r="AJ5">
        <v>239759.81</v>
      </c>
      <c r="AM5">
        <v>239759.81</v>
      </c>
      <c r="AN5">
        <v>129222.91</v>
      </c>
      <c r="AQ5">
        <v>129222.91</v>
      </c>
      <c r="AR5">
        <v>3579.36</v>
      </c>
      <c r="AT5">
        <v>3579.36</v>
      </c>
      <c r="AU5">
        <v>65166.06</v>
      </c>
      <c r="AX5">
        <v>65166.06</v>
      </c>
      <c r="AY5">
        <v>-0.5</v>
      </c>
      <c r="BA5">
        <v>-0.5</v>
      </c>
      <c r="BB5">
        <v>616059.41999999993</v>
      </c>
      <c r="BC5">
        <v>25027.42</v>
      </c>
      <c r="BF5">
        <v>25027.42</v>
      </c>
      <c r="BI5">
        <v>25027.42</v>
      </c>
      <c r="BX5">
        <v>823032.9</v>
      </c>
      <c r="BY5" s="1"/>
      <c r="BZ5" s="1"/>
    </row>
    <row r="6" spans="1:78">
      <c r="A6" s="4" t="s">
        <v>29</v>
      </c>
      <c r="B6" s="17">
        <v>17.78</v>
      </c>
      <c r="C6" s="17"/>
      <c r="D6" s="3">
        <v>41533</v>
      </c>
      <c r="E6" s="11">
        <f t="shared" si="4"/>
        <v>801504.2699999999</v>
      </c>
      <c r="F6" s="4">
        <f t="shared" si="5"/>
        <v>601173.77</v>
      </c>
      <c r="G6" s="4">
        <f t="shared" si="6"/>
        <v>0.75005685247316289</v>
      </c>
      <c r="H6" s="4">
        <f t="shared" si="0"/>
        <v>0</v>
      </c>
      <c r="I6" s="4">
        <f t="shared" si="1"/>
        <v>0</v>
      </c>
      <c r="J6" s="4">
        <f t="shared" si="7"/>
        <v>0</v>
      </c>
      <c r="K6" s="4">
        <f t="shared" si="8"/>
        <v>0</v>
      </c>
      <c r="L6" s="4">
        <f t="shared" si="9"/>
        <v>0</v>
      </c>
      <c r="M6" s="4">
        <f t="shared" si="10"/>
        <v>0</v>
      </c>
      <c r="N6" s="4">
        <f t="shared" si="11"/>
        <v>0</v>
      </c>
      <c r="O6" s="4">
        <f t="shared" si="12"/>
        <v>0</v>
      </c>
      <c r="P6" s="4">
        <f t="shared" si="2"/>
        <v>601173.77</v>
      </c>
      <c r="Q6" s="4">
        <f t="shared" si="3"/>
        <v>0.75005685247316289</v>
      </c>
      <c r="U6" s="11">
        <f t="shared" si="13"/>
        <v>200330.49999999988</v>
      </c>
      <c r="V6" s="11">
        <f t="shared" si="14"/>
        <v>0.24994314752683713</v>
      </c>
      <c r="X6" s="3">
        <v>41533</v>
      </c>
      <c r="Y6">
        <v>34686.67</v>
      </c>
      <c r="AB6">
        <v>34686.67</v>
      </c>
      <c r="AE6">
        <v>34686.67</v>
      </c>
      <c r="AF6">
        <v>176654.05</v>
      </c>
      <c r="AI6">
        <v>176654.05</v>
      </c>
      <c r="AJ6">
        <v>228194.01</v>
      </c>
      <c r="AM6">
        <v>228194.01</v>
      </c>
      <c r="AN6">
        <v>128443.87</v>
      </c>
      <c r="AQ6">
        <v>128443.87</v>
      </c>
      <c r="AR6">
        <v>3420.18</v>
      </c>
      <c r="AT6">
        <v>3420.18</v>
      </c>
      <c r="AU6">
        <v>64461.66</v>
      </c>
      <c r="AX6">
        <v>64461.66</v>
      </c>
      <c r="BB6">
        <v>601173.77</v>
      </c>
      <c r="BC6">
        <v>24850.45</v>
      </c>
      <c r="BF6">
        <v>24850.45</v>
      </c>
      <c r="BI6">
        <v>24850.45</v>
      </c>
      <c r="BX6">
        <v>801504.2699999999</v>
      </c>
      <c r="BY6" s="1"/>
      <c r="BZ6" s="1"/>
    </row>
    <row r="7" spans="1:78">
      <c r="A7" s="4" t="s">
        <v>30</v>
      </c>
      <c r="B7" s="17" t="s">
        <v>31</v>
      </c>
      <c r="C7" s="17"/>
      <c r="D7" s="3">
        <v>41540</v>
      </c>
      <c r="E7" s="11">
        <f t="shared" si="4"/>
        <v>835743.58999999985</v>
      </c>
      <c r="F7" s="4">
        <f t="shared" si="5"/>
        <v>627225.06999999983</v>
      </c>
      <c r="G7" s="4">
        <f t="shared" si="6"/>
        <v>0.75049940855663633</v>
      </c>
      <c r="H7" s="4">
        <f t="shared" si="0"/>
        <v>0</v>
      </c>
      <c r="I7" s="4">
        <f t="shared" si="1"/>
        <v>0</v>
      </c>
      <c r="J7" s="4">
        <f t="shared" si="7"/>
        <v>0</v>
      </c>
      <c r="K7" s="4">
        <f t="shared" si="8"/>
        <v>0</v>
      </c>
      <c r="L7" s="4">
        <f t="shared" si="9"/>
        <v>0</v>
      </c>
      <c r="M7" s="4">
        <f t="shared" si="10"/>
        <v>0</v>
      </c>
      <c r="N7" s="4">
        <f t="shared" si="11"/>
        <v>0</v>
      </c>
      <c r="O7" s="4">
        <f t="shared" si="12"/>
        <v>0</v>
      </c>
      <c r="P7" s="4">
        <f t="shared" si="2"/>
        <v>627225.06999999983</v>
      </c>
      <c r="Q7" s="4">
        <f t="shared" si="3"/>
        <v>0.75049940855663633</v>
      </c>
      <c r="R7" s="4">
        <v>1</v>
      </c>
      <c r="S7" s="4">
        <f t="shared" ref="S7:S38" si="15">E7*T7</f>
        <v>621556.87431531202</v>
      </c>
      <c r="T7" s="4">
        <f t="shared" ref="T7:T8" si="16">$B$9+$B$10*R7</f>
        <v>0.74371719000000003</v>
      </c>
      <c r="U7" s="11">
        <f t="shared" si="13"/>
        <v>208518.52000000002</v>
      </c>
      <c r="V7" s="11">
        <f t="shared" si="14"/>
        <v>0.2495005914433637</v>
      </c>
      <c r="X7" s="3">
        <v>41540</v>
      </c>
      <c r="Y7">
        <v>34910.080000000002</v>
      </c>
      <c r="AB7">
        <v>34910.080000000002</v>
      </c>
      <c r="AE7">
        <v>34910.080000000002</v>
      </c>
      <c r="AF7">
        <v>180997.78</v>
      </c>
      <c r="AI7">
        <v>180997.78</v>
      </c>
      <c r="AJ7">
        <v>239176.6</v>
      </c>
      <c r="AM7">
        <v>239176.6</v>
      </c>
      <c r="AN7">
        <v>139909.06</v>
      </c>
      <c r="AQ7">
        <v>139909.06</v>
      </c>
      <c r="AR7">
        <v>3541.94</v>
      </c>
      <c r="AT7">
        <v>3541.94</v>
      </c>
      <c r="AU7">
        <v>63599.69</v>
      </c>
      <c r="AX7">
        <v>63599.69</v>
      </c>
      <c r="BB7">
        <v>627225.06999999983</v>
      </c>
      <c r="BC7">
        <v>25036.16</v>
      </c>
      <c r="BF7">
        <v>25036.16</v>
      </c>
      <c r="BI7">
        <v>25036.16</v>
      </c>
      <c r="BX7">
        <v>835743.58999999985</v>
      </c>
      <c r="BY7" s="1"/>
      <c r="BZ7" s="1"/>
    </row>
    <row r="8" spans="1:78">
      <c r="A8" s="4" t="s">
        <v>32</v>
      </c>
      <c r="B8" s="17">
        <v>0.2049</v>
      </c>
      <c r="C8" s="17"/>
      <c r="D8" s="3">
        <v>41547</v>
      </c>
      <c r="E8" s="11">
        <f t="shared" si="4"/>
        <v>813252.67000000016</v>
      </c>
      <c r="F8" s="4">
        <f t="shared" si="5"/>
        <v>608655.67000000016</v>
      </c>
      <c r="G8" s="4">
        <f t="shared" si="6"/>
        <v>0.74842136085455468</v>
      </c>
      <c r="H8" s="4">
        <f t="shared" si="0"/>
        <v>0</v>
      </c>
      <c r="I8" s="4">
        <f t="shared" si="1"/>
        <v>0</v>
      </c>
      <c r="J8" s="4">
        <f t="shared" si="7"/>
        <v>0</v>
      </c>
      <c r="K8" s="4">
        <f t="shared" si="8"/>
        <v>0</v>
      </c>
      <c r="L8" s="4">
        <f t="shared" si="9"/>
        <v>0</v>
      </c>
      <c r="M8" s="4">
        <f t="shared" si="10"/>
        <v>0</v>
      </c>
      <c r="N8" s="4">
        <f t="shared" si="11"/>
        <v>0</v>
      </c>
      <c r="O8" s="4">
        <f t="shared" si="12"/>
        <v>0</v>
      </c>
      <c r="P8" s="4">
        <f t="shared" si="2"/>
        <v>608655.67000000016</v>
      </c>
      <c r="Q8" s="4">
        <f t="shared" si="3"/>
        <v>0.74842136085455468</v>
      </c>
      <c r="R8" s="4">
        <v>2</v>
      </c>
      <c r="S8" s="4">
        <f t="shared" si="15"/>
        <v>605039.15094659477</v>
      </c>
      <c r="T8" s="4">
        <f t="shared" si="16"/>
        <v>0.74397438000000005</v>
      </c>
      <c r="U8" s="11">
        <f t="shared" si="13"/>
        <v>204597</v>
      </c>
      <c r="V8" s="11">
        <f t="shared" si="14"/>
        <v>0.25157863914544537</v>
      </c>
      <c r="X8" s="3">
        <v>41547</v>
      </c>
      <c r="Y8">
        <v>33014.79</v>
      </c>
      <c r="AB8">
        <v>33014.79</v>
      </c>
      <c r="AE8">
        <v>33014.79</v>
      </c>
      <c r="AF8">
        <v>180811.16</v>
      </c>
      <c r="AI8">
        <v>180811.16</v>
      </c>
      <c r="AJ8">
        <v>229416.16</v>
      </c>
      <c r="AM8">
        <v>229416.16</v>
      </c>
      <c r="AN8">
        <v>131888.76</v>
      </c>
      <c r="AQ8">
        <v>131888.76</v>
      </c>
      <c r="AR8">
        <v>3541.06</v>
      </c>
      <c r="AT8">
        <v>3541.06</v>
      </c>
      <c r="AU8">
        <v>62998.53</v>
      </c>
      <c r="AX8">
        <v>62998.53</v>
      </c>
      <c r="BB8">
        <v>608655.67000000016</v>
      </c>
      <c r="BC8">
        <v>24464.66</v>
      </c>
      <c r="BF8">
        <v>24464.66</v>
      </c>
      <c r="BI8">
        <v>24464.66</v>
      </c>
      <c r="BX8">
        <v>813252.67000000016</v>
      </c>
      <c r="BY8" s="1"/>
      <c r="BZ8" s="1"/>
    </row>
    <row r="9" spans="1:78">
      <c r="A9" s="18" t="s">
        <v>33</v>
      </c>
      <c r="B9" s="19">
        <v>0.74346000000000001</v>
      </c>
      <c r="C9" s="17"/>
      <c r="D9" s="3">
        <v>41554</v>
      </c>
      <c r="E9" s="11">
        <f t="shared" si="4"/>
        <v>785702.33000000007</v>
      </c>
      <c r="F9" s="4">
        <f t="shared" si="5"/>
        <v>585855.48</v>
      </c>
      <c r="G9" s="4">
        <f t="shared" si="6"/>
        <v>0.74564559328721847</v>
      </c>
      <c r="H9" s="4">
        <f t="shared" si="0"/>
        <v>0</v>
      </c>
      <c r="I9" s="4">
        <f t="shared" si="1"/>
        <v>0</v>
      </c>
      <c r="J9" s="4">
        <f t="shared" si="7"/>
        <v>0</v>
      </c>
      <c r="K9" s="4">
        <f t="shared" si="8"/>
        <v>0</v>
      </c>
      <c r="L9" s="4">
        <f t="shared" si="9"/>
        <v>0</v>
      </c>
      <c r="M9" s="4">
        <f t="shared" si="10"/>
        <v>0</v>
      </c>
      <c r="N9" s="4">
        <f t="shared" si="11"/>
        <v>0</v>
      </c>
      <c r="O9" s="4">
        <f t="shared" si="12"/>
        <v>0</v>
      </c>
      <c r="P9" s="4">
        <f t="shared" si="2"/>
        <v>585855.48</v>
      </c>
      <c r="Q9" s="4">
        <f t="shared" si="3"/>
        <v>0.74564559328721847</v>
      </c>
      <c r="R9" s="4">
        <v>3</v>
      </c>
      <c r="S9" s="4">
        <f t="shared" si="15"/>
        <v>584744.47860855819</v>
      </c>
      <c r="T9" s="4">
        <f t="shared" ref="T9:T40" si="17">$B$9+$B$10*R9</f>
        <v>0.74423157000000006</v>
      </c>
      <c r="U9" s="11">
        <f t="shared" si="13"/>
        <v>199846.85000000009</v>
      </c>
      <c r="V9" s="11">
        <f t="shared" si="14"/>
        <v>0.25435440671278153</v>
      </c>
      <c r="X9" s="3">
        <v>41554</v>
      </c>
      <c r="Y9">
        <v>33692.97</v>
      </c>
      <c r="AB9">
        <v>33692.97</v>
      </c>
      <c r="AE9">
        <v>33692.97</v>
      </c>
      <c r="AF9">
        <v>171934.34</v>
      </c>
      <c r="AI9">
        <v>171934.34</v>
      </c>
      <c r="AJ9">
        <v>224334.35</v>
      </c>
      <c r="AM9">
        <v>224334.35</v>
      </c>
      <c r="AN9">
        <v>122779.97</v>
      </c>
      <c r="AQ9">
        <v>122779.97</v>
      </c>
      <c r="AR9">
        <v>3510.19</v>
      </c>
      <c r="AT9">
        <v>3510.19</v>
      </c>
      <c r="AU9">
        <v>63296.63</v>
      </c>
      <c r="AX9">
        <v>63296.63</v>
      </c>
      <c r="BB9">
        <v>585855.48</v>
      </c>
      <c r="BC9">
        <v>24221.51</v>
      </c>
      <c r="BF9">
        <v>24221.51</v>
      </c>
      <c r="BI9">
        <v>24221.51</v>
      </c>
      <c r="BX9">
        <v>785702.33000000007</v>
      </c>
      <c r="BY9" s="1"/>
      <c r="BZ9" s="1"/>
    </row>
    <row r="10" spans="1:78">
      <c r="A10" s="18" t="s">
        <v>34</v>
      </c>
      <c r="B10" s="19">
        <v>2.5719000000000002E-4</v>
      </c>
      <c r="C10" s="17"/>
      <c r="D10" s="3">
        <v>41561</v>
      </c>
      <c r="E10" s="11">
        <f t="shared" si="4"/>
        <v>781436.41999999993</v>
      </c>
      <c r="F10" s="4">
        <f t="shared" si="5"/>
        <v>586291.77</v>
      </c>
      <c r="G10" s="4">
        <f t="shared" si="6"/>
        <v>0.75027443691452222</v>
      </c>
      <c r="H10" s="4">
        <f t="shared" si="0"/>
        <v>0</v>
      </c>
      <c r="I10" s="4">
        <f t="shared" si="1"/>
        <v>0</v>
      </c>
      <c r="J10" s="4">
        <f t="shared" si="7"/>
        <v>0</v>
      </c>
      <c r="K10" s="4">
        <f t="shared" si="8"/>
        <v>0</v>
      </c>
      <c r="L10" s="4">
        <f t="shared" si="9"/>
        <v>0</v>
      </c>
      <c r="M10" s="4">
        <f t="shared" si="10"/>
        <v>0</v>
      </c>
      <c r="N10" s="4">
        <f t="shared" si="11"/>
        <v>0</v>
      </c>
      <c r="O10" s="4">
        <f t="shared" si="12"/>
        <v>0</v>
      </c>
      <c r="P10" s="4">
        <f t="shared" si="2"/>
        <v>586291.77</v>
      </c>
      <c r="Q10" s="4">
        <f t="shared" si="3"/>
        <v>0.75027443691452222</v>
      </c>
      <c r="R10" s="4">
        <v>4</v>
      </c>
      <c r="S10" s="4">
        <f t="shared" si="15"/>
        <v>581770.63134463911</v>
      </c>
      <c r="T10" s="4">
        <f t="shared" si="17"/>
        <v>0.74448875999999997</v>
      </c>
      <c r="U10" s="11">
        <f t="shared" si="13"/>
        <v>195144.64999999991</v>
      </c>
      <c r="V10" s="11">
        <f t="shared" si="14"/>
        <v>0.2497255630854778</v>
      </c>
      <c r="X10" s="3">
        <v>41561</v>
      </c>
      <c r="Y10">
        <v>33080.17</v>
      </c>
      <c r="AB10">
        <v>33080.17</v>
      </c>
      <c r="AE10">
        <v>33080.17</v>
      </c>
      <c r="AF10">
        <v>169861</v>
      </c>
      <c r="AI10">
        <v>169861</v>
      </c>
      <c r="AJ10">
        <v>228256.31</v>
      </c>
      <c r="AM10">
        <v>228256.31</v>
      </c>
      <c r="AN10">
        <v>120676.68</v>
      </c>
      <c r="AQ10">
        <v>120676.68</v>
      </c>
      <c r="AR10">
        <v>3623.87</v>
      </c>
      <c r="AT10">
        <v>3623.87</v>
      </c>
      <c r="AU10">
        <v>63873.91</v>
      </c>
      <c r="AX10">
        <v>63873.91</v>
      </c>
      <c r="BB10">
        <v>586291.77</v>
      </c>
      <c r="BC10">
        <v>23401.86</v>
      </c>
      <c r="BF10">
        <v>23401.86</v>
      </c>
      <c r="BI10">
        <v>23401.86</v>
      </c>
      <c r="BX10">
        <v>781436.41999999993</v>
      </c>
      <c r="BY10" s="1"/>
      <c r="BZ10" s="1"/>
    </row>
    <row r="11" spans="1:78">
      <c r="B11" s="17"/>
      <c r="C11" s="17"/>
      <c r="D11" s="3">
        <v>41568</v>
      </c>
      <c r="E11" s="11">
        <f t="shared" si="4"/>
        <v>794844.60000000009</v>
      </c>
      <c r="F11" s="4">
        <f t="shared" si="5"/>
        <v>596425.96</v>
      </c>
      <c r="G11" s="4">
        <f t="shared" si="6"/>
        <v>0.75036800904227052</v>
      </c>
      <c r="H11" s="4">
        <f t="shared" si="0"/>
        <v>0</v>
      </c>
      <c r="I11" s="4">
        <f t="shared" si="1"/>
        <v>0</v>
      </c>
      <c r="J11" s="4">
        <f t="shared" si="7"/>
        <v>0</v>
      </c>
      <c r="K11" s="4">
        <f t="shared" si="8"/>
        <v>0</v>
      </c>
      <c r="L11" s="4">
        <f t="shared" si="9"/>
        <v>0</v>
      </c>
      <c r="M11" s="4">
        <f t="shared" si="10"/>
        <v>0</v>
      </c>
      <c r="N11" s="4">
        <f t="shared" si="11"/>
        <v>0</v>
      </c>
      <c r="O11" s="4">
        <f t="shared" si="12"/>
        <v>0</v>
      </c>
      <c r="P11" s="4">
        <f t="shared" si="2"/>
        <v>596425.96</v>
      </c>
      <c r="Q11" s="4">
        <f t="shared" si="3"/>
        <v>0.75036800904227052</v>
      </c>
      <c r="R11" s="4">
        <v>5</v>
      </c>
      <c r="S11" s="4">
        <f t="shared" si="15"/>
        <v>591957.29672937002</v>
      </c>
      <c r="T11" s="4">
        <f t="shared" si="17"/>
        <v>0.74474594999999999</v>
      </c>
      <c r="U11" s="11">
        <f t="shared" si="13"/>
        <v>198418.64000000013</v>
      </c>
      <c r="V11" s="11">
        <f t="shared" si="14"/>
        <v>0.24963199095772948</v>
      </c>
      <c r="X11" s="3">
        <v>41568</v>
      </c>
      <c r="Y11">
        <v>32728.18</v>
      </c>
      <c r="AB11">
        <v>32728.18</v>
      </c>
      <c r="AE11">
        <v>32728.18</v>
      </c>
      <c r="AF11">
        <v>173841.09</v>
      </c>
      <c r="AI11">
        <v>173841.09</v>
      </c>
      <c r="AJ11">
        <v>238091.83</v>
      </c>
      <c r="AM11">
        <v>238091.83</v>
      </c>
      <c r="AN11">
        <v>117571.03</v>
      </c>
      <c r="AQ11">
        <v>117571.03</v>
      </c>
      <c r="AR11">
        <v>3621.52</v>
      </c>
      <c r="AT11">
        <v>3621.52</v>
      </c>
      <c r="AU11">
        <v>63300.49</v>
      </c>
      <c r="AX11">
        <v>63300.49</v>
      </c>
      <c r="BB11">
        <v>596425.96</v>
      </c>
      <c r="BC11">
        <v>23534.84</v>
      </c>
      <c r="BF11">
        <v>23534.84</v>
      </c>
      <c r="BI11">
        <v>23534.84</v>
      </c>
      <c r="BX11">
        <v>794844.60000000009</v>
      </c>
      <c r="BY11" s="1"/>
      <c r="BZ11" s="1"/>
    </row>
    <row r="12" spans="1:78">
      <c r="A12" s="4" t="s">
        <v>39</v>
      </c>
      <c r="B12" s="6">
        <v>9.0375713949836511E-3</v>
      </c>
      <c r="C12" s="17"/>
      <c r="D12" s="3">
        <v>41575</v>
      </c>
      <c r="E12" s="11">
        <f t="shared" si="4"/>
        <v>800633.05000000016</v>
      </c>
      <c r="F12" s="4">
        <f t="shared" si="5"/>
        <v>598855.02</v>
      </c>
      <c r="G12" s="4">
        <f t="shared" si="6"/>
        <v>0.74797689153601632</v>
      </c>
      <c r="H12" s="4">
        <f t="shared" si="0"/>
        <v>0</v>
      </c>
      <c r="I12" s="4">
        <f t="shared" si="1"/>
        <v>0</v>
      </c>
      <c r="J12" s="4">
        <f t="shared" si="7"/>
        <v>0</v>
      </c>
      <c r="K12" s="4">
        <f t="shared" si="8"/>
        <v>0</v>
      </c>
      <c r="L12" s="4">
        <f t="shared" si="9"/>
        <v>0</v>
      </c>
      <c r="M12" s="4">
        <f t="shared" si="10"/>
        <v>0</v>
      </c>
      <c r="N12" s="4">
        <f t="shared" si="11"/>
        <v>0</v>
      </c>
      <c r="O12" s="4">
        <f t="shared" si="12"/>
        <v>0</v>
      </c>
      <c r="P12" s="4">
        <f t="shared" si="2"/>
        <v>598855.02</v>
      </c>
      <c r="Q12" s="4">
        <f t="shared" si="3"/>
        <v>0.74797689153601632</v>
      </c>
      <c r="R12" s="4">
        <v>6</v>
      </c>
      <c r="S12" s="4">
        <f t="shared" si="15"/>
        <v>596474.13623777707</v>
      </c>
      <c r="T12" s="4">
        <f t="shared" si="17"/>
        <v>0.74500314000000001</v>
      </c>
      <c r="U12" s="11">
        <f t="shared" si="13"/>
        <v>201778.03000000014</v>
      </c>
      <c r="V12" s="11">
        <f t="shared" si="14"/>
        <v>0.25202310846398374</v>
      </c>
      <c r="X12" s="3">
        <v>41575</v>
      </c>
      <c r="Y12">
        <v>32512.3</v>
      </c>
      <c r="AB12">
        <v>32512.3</v>
      </c>
      <c r="AE12">
        <v>32512.3</v>
      </c>
      <c r="AF12">
        <v>173364.34</v>
      </c>
      <c r="AI12">
        <v>173364.34</v>
      </c>
      <c r="AJ12">
        <v>245024.38</v>
      </c>
      <c r="AM12">
        <v>245024.38</v>
      </c>
      <c r="AN12">
        <v>115168.9</v>
      </c>
      <c r="AQ12">
        <v>115168.9</v>
      </c>
      <c r="AR12">
        <v>3332.99</v>
      </c>
      <c r="AT12">
        <v>3332.99</v>
      </c>
      <c r="AU12">
        <v>61964.66</v>
      </c>
      <c r="AX12">
        <v>61964.66</v>
      </c>
      <c r="AY12">
        <v>-0.25</v>
      </c>
      <c r="BA12">
        <v>-0.25</v>
      </c>
      <c r="BB12">
        <v>598855.02</v>
      </c>
      <c r="BC12">
        <v>23718.11</v>
      </c>
      <c r="BF12">
        <v>23718.11</v>
      </c>
      <c r="BI12">
        <v>23718.11</v>
      </c>
      <c r="BX12">
        <v>800633.05000000016</v>
      </c>
      <c r="BY12" s="1"/>
      <c r="BZ12" s="1"/>
    </row>
    <row r="13" spans="1:78">
      <c r="C13" s="17"/>
      <c r="D13" s="3">
        <v>41582</v>
      </c>
      <c r="E13" s="11">
        <f t="shared" si="4"/>
        <v>759348.19999999972</v>
      </c>
      <c r="F13" s="4">
        <f t="shared" si="5"/>
        <v>565915.86</v>
      </c>
      <c r="G13" s="4">
        <f t="shared" si="6"/>
        <v>0.7452652946303161</v>
      </c>
      <c r="H13" s="4">
        <f t="shared" si="0"/>
        <v>0</v>
      </c>
      <c r="I13" s="4">
        <f t="shared" si="1"/>
        <v>0</v>
      </c>
      <c r="J13" s="4">
        <f t="shared" si="7"/>
        <v>0</v>
      </c>
      <c r="K13" s="4">
        <f t="shared" si="8"/>
        <v>0</v>
      </c>
      <c r="L13" s="4">
        <f t="shared" si="9"/>
        <v>0</v>
      </c>
      <c r="M13" s="4">
        <f t="shared" si="10"/>
        <v>0</v>
      </c>
      <c r="N13" s="4">
        <f t="shared" si="11"/>
        <v>0</v>
      </c>
      <c r="O13" s="4">
        <f t="shared" si="12"/>
        <v>0</v>
      </c>
      <c r="P13" s="4">
        <f t="shared" si="2"/>
        <v>565915.86</v>
      </c>
      <c r="Q13" s="4">
        <f t="shared" si="3"/>
        <v>0.7452652946303161</v>
      </c>
      <c r="R13" s="4">
        <v>7</v>
      </c>
      <c r="S13" s="4">
        <f t="shared" si="15"/>
        <v>565912.09011690586</v>
      </c>
      <c r="T13" s="4">
        <f t="shared" si="17"/>
        <v>0.74526033000000003</v>
      </c>
      <c r="U13" s="11">
        <f t="shared" si="13"/>
        <v>193432.33999999973</v>
      </c>
      <c r="V13" s="11">
        <f t="shared" si="14"/>
        <v>0.2547347053696839</v>
      </c>
      <c r="X13" s="3">
        <v>41582</v>
      </c>
      <c r="Y13">
        <v>32173.06</v>
      </c>
      <c r="AB13">
        <v>32173.06</v>
      </c>
      <c r="AE13">
        <v>32173.06</v>
      </c>
      <c r="AF13">
        <v>164726.87</v>
      </c>
      <c r="AI13">
        <v>164726.87</v>
      </c>
      <c r="AJ13">
        <v>221773.61</v>
      </c>
      <c r="AM13">
        <v>221773.61</v>
      </c>
      <c r="AN13">
        <v>117137.64</v>
      </c>
      <c r="AQ13">
        <v>117137.64</v>
      </c>
      <c r="AR13">
        <v>3304.74</v>
      </c>
      <c r="AT13">
        <v>3304.74</v>
      </c>
      <c r="AU13">
        <v>58973.08</v>
      </c>
      <c r="AX13">
        <v>58973.08</v>
      </c>
      <c r="AY13">
        <v>-0.08</v>
      </c>
      <c r="BA13">
        <v>-0.08</v>
      </c>
      <c r="BB13">
        <v>565915.86</v>
      </c>
      <c r="BC13">
        <v>23365.69</v>
      </c>
      <c r="BF13">
        <v>23365.69</v>
      </c>
      <c r="BI13">
        <v>23365.69</v>
      </c>
      <c r="BX13">
        <v>759348.19999999972</v>
      </c>
      <c r="BY13" s="1"/>
      <c r="BZ13" s="1"/>
    </row>
    <row r="14" spans="1:78">
      <c r="D14" s="3">
        <v>41589</v>
      </c>
      <c r="E14" s="11">
        <f t="shared" si="4"/>
        <v>757878.9</v>
      </c>
      <c r="F14" s="4">
        <f t="shared" si="5"/>
        <v>564507.49</v>
      </c>
      <c r="G14" s="4">
        <f t="shared" si="6"/>
        <v>0.74485183582759718</v>
      </c>
      <c r="H14" s="4">
        <f t="shared" si="0"/>
        <v>0</v>
      </c>
      <c r="I14" s="4">
        <f t="shared" si="1"/>
        <v>0</v>
      </c>
      <c r="J14" s="4">
        <f t="shared" si="7"/>
        <v>0</v>
      </c>
      <c r="K14" s="4">
        <f t="shared" si="8"/>
        <v>0</v>
      </c>
      <c r="L14" s="4">
        <f t="shared" si="9"/>
        <v>0</v>
      </c>
      <c r="M14" s="4">
        <f t="shared" si="10"/>
        <v>0</v>
      </c>
      <c r="N14" s="4">
        <f t="shared" si="11"/>
        <v>0</v>
      </c>
      <c r="O14" s="4">
        <f t="shared" si="12"/>
        <v>0</v>
      </c>
      <c r="P14" s="4">
        <f t="shared" si="2"/>
        <v>564507.49</v>
      </c>
      <c r="Q14" s="4">
        <f t="shared" si="3"/>
        <v>0.74485183582759718</v>
      </c>
      <c r="R14" s="4">
        <v>8</v>
      </c>
      <c r="S14" s="4">
        <f t="shared" si="15"/>
        <v>565011.9979883281</v>
      </c>
      <c r="T14" s="4">
        <f t="shared" si="17"/>
        <v>0.74551752000000004</v>
      </c>
      <c r="U14" s="11">
        <f t="shared" si="13"/>
        <v>193371.41000000003</v>
      </c>
      <c r="V14" s="11">
        <f t="shared" si="14"/>
        <v>0.25514816417240277</v>
      </c>
      <c r="X14" s="3">
        <v>41589</v>
      </c>
      <c r="Y14">
        <v>32255.22</v>
      </c>
      <c r="AB14">
        <v>32255.22</v>
      </c>
      <c r="AE14">
        <v>32255.22</v>
      </c>
      <c r="AF14">
        <v>161279.85999999999</v>
      </c>
      <c r="AI14">
        <v>161279.85999999999</v>
      </c>
      <c r="AJ14">
        <v>221020.09</v>
      </c>
      <c r="AM14">
        <v>221020.09</v>
      </c>
      <c r="AN14">
        <v>116423.36</v>
      </c>
      <c r="AQ14">
        <v>116423.36</v>
      </c>
      <c r="AR14">
        <v>3591.91</v>
      </c>
      <c r="AT14">
        <v>3591.91</v>
      </c>
      <c r="AU14">
        <v>62193.35</v>
      </c>
      <c r="AX14">
        <v>62193.35</v>
      </c>
      <c r="AY14">
        <v>-1.08</v>
      </c>
      <c r="BA14">
        <v>-1.08</v>
      </c>
      <c r="BB14">
        <v>564507.49</v>
      </c>
      <c r="BC14">
        <v>23122.23</v>
      </c>
      <c r="BF14">
        <v>23122.23</v>
      </c>
      <c r="BI14">
        <v>23122.23</v>
      </c>
      <c r="BX14">
        <v>757878.9</v>
      </c>
      <c r="BY14" s="1"/>
      <c r="BZ14" s="1"/>
    </row>
    <row r="15" spans="1:78">
      <c r="D15" s="3">
        <v>41596</v>
      </c>
      <c r="E15" s="11">
        <f t="shared" si="4"/>
        <v>883674.25000000023</v>
      </c>
      <c r="F15" s="4">
        <f t="shared" si="5"/>
        <v>659622.32000000007</v>
      </c>
      <c r="G15" s="4">
        <f t="shared" si="6"/>
        <v>0.74645416000296472</v>
      </c>
      <c r="H15" s="4">
        <f t="shared" si="0"/>
        <v>0</v>
      </c>
      <c r="I15" s="4">
        <f t="shared" si="1"/>
        <v>0</v>
      </c>
      <c r="J15" s="4">
        <f t="shared" si="7"/>
        <v>0</v>
      </c>
      <c r="K15" s="4">
        <f t="shared" si="8"/>
        <v>0</v>
      </c>
      <c r="L15" s="4">
        <f t="shared" si="9"/>
        <v>0</v>
      </c>
      <c r="M15" s="4">
        <f t="shared" si="10"/>
        <v>0</v>
      </c>
      <c r="N15" s="4">
        <f t="shared" si="11"/>
        <v>0</v>
      </c>
      <c r="O15" s="4">
        <f t="shared" si="12"/>
        <v>0</v>
      </c>
      <c r="P15" s="4">
        <f t="shared" si="2"/>
        <v>659622.32000000007</v>
      </c>
      <c r="Q15" s="4">
        <f t="shared" si="3"/>
        <v>0.74645416000296472</v>
      </c>
      <c r="R15" s="4">
        <v>9</v>
      </c>
      <c r="S15" s="4">
        <f t="shared" si="15"/>
        <v>659021.90752821777</v>
      </c>
      <c r="T15" s="4">
        <f t="shared" si="17"/>
        <v>0.74577471000000006</v>
      </c>
      <c r="U15" s="11">
        <f t="shared" si="13"/>
        <v>224051.93000000017</v>
      </c>
      <c r="V15" s="11">
        <f t="shared" si="14"/>
        <v>0.25354583999703523</v>
      </c>
      <c r="X15" s="3">
        <v>41596</v>
      </c>
      <c r="Y15">
        <v>36499.379999999997</v>
      </c>
      <c r="AB15">
        <v>36499.379999999997</v>
      </c>
      <c r="AE15">
        <v>36499.379999999997</v>
      </c>
      <c r="AF15">
        <v>193274.88</v>
      </c>
      <c r="AI15">
        <v>193274.88</v>
      </c>
      <c r="AJ15">
        <v>261783.94</v>
      </c>
      <c r="AM15">
        <v>261783.94</v>
      </c>
      <c r="AN15">
        <v>130096.44</v>
      </c>
      <c r="AQ15">
        <v>130096.44</v>
      </c>
      <c r="AR15">
        <v>4250.76</v>
      </c>
      <c r="AT15">
        <v>4250.76</v>
      </c>
      <c r="AU15">
        <v>70216.3</v>
      </c>
      <c r="AX15">
        <v>70216.3</v>
      </c>
      <c r="BB15">
        <v>659622.32000000007</v>
      </c>
      <c r="BC15">
        <v>26534.92</v>
      </c>
      <c r="BF15">
        <v>26534.92</v>
      </c>
      <c r="BI15">
        <v>26534.92</v>
      </c>
      <c r="BX15">
        <v>883674.25000000023</v>
      </c>
      <c r="BY15" s="1"/>
      <c r="BZ15" s="1"/>
    </row>
    <row r="16" spans="1:78">
      <c r="D16" s="3">
        <v>41603</v>
      </c>
      <c r="E16" s="11">
        <f t="shared" si="4"/>
        <v>615275.89999999991</v>
      </c>
      <c r="F16" s="4">
        <f t="shared" si="5"/>
        <v>459474.5</v>
      </c>
      <c r="G16" s="4">
        <f t="shared" si="6"/>
        <v>0.74677799016668789</v>
      </c>
      <c r="H16" s="4">
        <f t="shared" si="0"/>
        <v>0</v>
      </c>
      <c r="I16" s="4">
        <f t="shared" si="1"/>
        <v>0</v>
      </c>
      <c r="J16" s="4">
        <f t="shared" si="7"/>
        <v>0</v>
      </c>
      <c r="K16" s="4">
        <f t="shared" si="8"/>
        <v>0</v>
      </c>
      <c r="L16" s="4">
        <f t="shared" si="9"/>
        <v>0</v>
      </c>
      <c r="M16" s="4">
        <f t="shared" si="10"/>
        <v>0</v>
      </c>
      <c r="N16" s="4">
        <f t="shared" si="11"/>
        <v>0</v>
      </c>
      <c r="O16" s="4">
        <f t="shared" si="12"/>
        <v>0</v>
      </c>
      <c r="P16" s="4">
        <f t="shared" si="2"/>
        <v>459474.5</v>
      </c>
      <c r="Q16" s="4">
        <f t="shared" si="3"/>
        <v>0.74677799016668789</v>
      </c>
      <c r="R16" s="4">
        <v>10</v>
      </c>
      <c r="S16" s="4">
        <f t="shared" si="15"/>
        <v>459015.44870120991</v>
      </c>
      <c r="T16" s="4">
        <f t="shared" si="17"/>
        <v>0.74603189999999997</v>
      </c>
      <c r="U16" s="11">
        <f t="shared" si="13"/>
        <v>155801.39999999991</v>
      </c>
      <c r="V16" s="11">
        <f t="shared" si="14"/>
        <v>0.25322200983331206</v>
      </c>
      <c r="X16" s="3">
        <v>41603</v>
      </c>
      <c r="Y16">
        <v>26067.55</v>
      </c>
      <c r="AB16">
        <v>26067.55</v>
      </c>
      <c r="AE16">
        <v>26067.55</v>
      </c>
      <c r="AF16">
        <v>133741.31</v>
      </c>
      <c r="AI16">
        <v>133741.31</v>
      </c>
      <c r="AJ16">
        <v>181862.76</v>
      </c>
      <c r="AM16">
        <v>181862.76</v>
      </c>
      <c r="AN16">
        <v>90771.32</v>
      </c>
      <c r="AQ16">
        <v>90771.32</v>
      </c>
      <c r="AR16">
        <v>2359.0500000000002</v>
      </c>
      <c r="AT16">
        <v>2359.0500000000002</v>
      </c>
      <c r="AU16">
        <v>50740.06</v>
      </c>
      <c r="AX16">
        <v>50740.06</v>
      </c>
      <c r="BB16">
        <v>459474.5</v>
      </c>
      <c r="BC16">
        <v>19051.82</v>
      </c>
      <c r="BF16">
        <v>19051.82</v>
      </c>
      <c r="BI16">
        <v>19051.82</v>
      </c>
      <c r="BX16">
        <v>615275.89999999991</v>
      </c>
      <c r="BY16" s="1"/>
      <c r="BZ16" s="1"/>
    </row>
    <row r="17" spans="4:78">
      <c r="D17" s="3">
        <v>41610</v>
      </c>
      <c r="E17" s="11">
        <f t="shared" si="4"/>
        <v>698571.47999999986</v>
      </c>
      <c r="F17" s="4">
        <f t="shared" si="5"/>
        <v>516804.11</v>
      </c>
      <c r="G17" s="4">
        <f t="shared" si="6"/>
        <v>0.73980132999417625</v>
      </c>
      <c r="H17" s="4">
        <f t="shared" si="0"/>
        <v>0</v>
      </c>
      <c r="I17" s="4">
        <f t="shared" si="1"/>
        <v>0</v>
      </c>
      <c r="J17" s="4">
        <f t="shared" si="7"/>
        <v>0</v>
      </c>
      <c r="K17" s="4">
        <f t="shared" si="8"/>
        <v>0</v>
      </c>
      <c r="L17" s="4">
        <f t="shared" si="9"/>
        <v>0</v>
      </c>
      <c r="M17" s="4">
        <f t="shared" si="10"/>
        <v>0</v>
      </c>
      <c r="N17" s="4">
        <f t="shared" si="11"/>
        <v>0</v>
      </c>
      <c r="O17" s="4">
        <f t="shared" si="12"/>
        <v>0</v>
      </c>
      <c r="P17" s="4">
        <f t="shared" si="2"/>
        <v>516804.11</v>
      </c>
      <c r="Q17" s="4">
        <f t="shared" si="3"/>
        <v>0.73980132999417625</v>
      </c>
      <c r="R17" s="4">
        <v>11</v>
      </c>
      <c r="S17" s="4">
        <f t="shared" si="15"/>
        <v>521336.27410915308</v>
      </c>
      <c r="T17" s="4">
        <f t="shared" si="17"/>
        <v>0.74628908999999999</v>
      </c>
      <c r="U17" s="11">
        <f t="shared" si="13"/>
        <v>181767.36999999988</v>
      </c>
      <c r="V17" s="11">
        <f t="shared" si="14"/>
        <v>0.26019867000582375</v>
      </c>
      <c r="X17" s="3">
        <v>41610</v>
      </c>
      <c r="Y17">
        <v>30338.63</v>
      </c>
      <c r="AB17">
        <v>30338.63</v>
      </c>
      <c r="AE17">
        <v>30338.63</v>
      </c>
      <c r="AF17">
        <v>149705</v>
      </c>
      <c r="AI17">
        <v>149705</v>
      </c>
      <c r="AJ17">
        <v>206236.62</v>
      </c>
      <c r="AM17">
        <v>206236.62</v>
      </c>
      <c r="AN17">
        <v>99188.98</v>
      </c>
      <c r="AQ17">
        <v>99188.98</v>
      </c>
      <c r="AR17">
        <v>3262.02</v>
      </c>
      <c r="AT17">
        <v>3262.02</v>
      </c>
      <c r="AU17">
        <v>58411.49</v>
      </c>
      <c r="AX17">
        <v>58411.49</v>
      </c>
      <c r="BB17">
        <v>516804.11</v>
      </c>
      <c r="BC17">
        <v>22075.84</v>
      </c>
      <c r="BF17">
        <v>22075.84</v>
      </c>
      <c r="BI17">
        <v>22075.84</v>
      </c>
      <c r="BX17">
        <v>698571.47999999986</v>
      </c>
      <c r="BY17" s="1"/>
      <c r="BZ17" s="1"/>
    </row>
    <row r="18" spans="4:78">
      <c r="D18" s="3">
        <v>41617</v>
      </c>
      <c r="E18" s="11">
        <f t="shared" si="4"/>
        <v>690241.70999999985</v>
      </c>
      <c r="F18" s="4">
        <f t="shared" si="5"/>
        <v>514672.51999999996</v>
      </c>
      <c r="G18" s="4">
        <f t="shared" si="6"/>
        <v>0.74564100161376812</v>
      </c>
      <c r="H18" s="4">
        <f t="shared" si="0"/>
        <v>0</v>
      </c>
      <c r="I18" s="4">
        <f t="shared" si="1"/>
        <v>0</v>
      </c>
      <c r="J18" s="4">
        <f t="shared" si="7"/>
        <v>0</v>
      </c>
      <c r="K18" s="4">
        <f t="shared" si="8"/>
        <v>0</v>
      </c>
      <c r="L18" s="4">
        <f t="shared" si="9"/>
        <v>0</v>
      </c>
      <c r="M18" s="4">
        <f t="shared" si="10"/>
        <v>0</v>
      </c>
      <c r="N18" s="4">
        <f t="shared" si="11"/>
        <v>0</v>
      </c>
      <c r="O18" s="4">
        <f t="shared" si="12"/>
        <v>0</v>
      </c>
      <c r="P18" s="4">
        <f t="shared" si="2"/>
        <v>514672.51999999996</v>
      </c>
      <c r="Q18" s="4">
        <f t="shared" si="3"/>
        <v>0.74564100161376812</v>
      </c>
      <c r="R18" s="4">
        <v>12</v>
      </c>
      <c r="S18" s="4">
        <f t="shared" si="15"/>
        <v>515297.38090133871</v>
      </c>
      <c r="T18" s="4">
        <f t="shared" si="17"/>
        <v>0.74654628000000001</v>
      </c>
      <c r="U18" s="11">
        <f t="shared" si="13"/>
        <v>175569.18999999989</v>
      </c>
      <c r="V18" s="11">
        <f t="shared" si="14"/>
        <v>0.25435899838623188</v>
      </c>
      <c r="X18" s="3">
        <v>41617</v>
      </c>
      <c r="Y18">
        <v>29662.75</v>
      </c>
      <c r="AB18">
        <v>29662.75</v>
      </c>
      <c r="AE18">
        <v>29662.75</v>
      </c>
      <c r="AF18">
        <v>151550.79999999999</v>
      </c>
      <c r="AI18">
        <v>151550.79999999999</v>
      </c>
      <c r="AJ18">
        <v>204835.25</v>
      </c>
      <c r="AM18">
        <v>204835.25</v>
      </c>
      <c r="AN18">
        <v>98262.2</v>
      </c>
      <c r="AQ18">
        <v>98262.2</v>
      </c>
      <c r="AR18">
        <v>3368.85</v>
      </c>
      <c r="AT18">
        <v>3368.85</v>
      </c>
      <c r="AU18">
        <v>56655.42</v>
      </c>
      <c r="AX18">
        <v>56655.42</v>
      </c>
      <c r="BB18">
        <v>514672.51999999996</v>
      </c>
      <c r="BC18">
        <v>21619.49</v>
      </c>
      <c r="BF18">
        <v>21619.49</v>
      </c>
      <c r="BI18">
        <v>21619.49</v>
      </c>
      <c r="BX18">
        <v>690241.70999999985</v>
      </c>
      <c r="BY18" s="1"/>
      <c r="BZ18" s="1"/>
    </row>
    <row r="19" spans="4:78">
      <c r="D19" s="3">
        <v>41624</v>
      </c>
      <c r="E19" s="11">
        <f t="shared" si="4"/>
        <v>816291.07000000018</v>
      </c>
      <c r="F19" s="4">
        <f t="shared" si="5"/>
        <v>615385.60000000009</v>
      </c>
      <c r="G19" s="4">
        <f t="shared" si="6"/>
        <v>0.75388010798648075</v>
      </c>
      <c r="H19" s="4">
        <f t="shared" si="0"/>
        <v>0</v>
      </c>
      <c r="I19" s="4">
        <f t="shared" si="1"/>
        <v>0</v>
      </c>
      <c r="J19" s="4">
        <f t="shared" si="7"/>
        <v>0</v>
      </c>
      <c r="K19" s="4">
        <f t="shared" si="8"/>
        <v>0</v>
      </c>
      <c r="L19" s="4">
        <f t="shared" si="9"/>
        <v>0</v>
      </c>
      <c r="M19" s="4">
        <f t="shared" si="10"/>
        <v>0</v>
      </c>
      <c r="N19" s="4">
        <f t="shared" si="11"/>
        <v>0</v>
      </c>
      <c r="O19" s="4">
        <f t="shared" si="12"/>
        <v>0</v>
      </c>
      <c r="P19" s="4">
        <f t="shared" si="2"/>
        <v>615385.60000000009</v>
      </c>
      <c r="Q19" s="4">
        <f t="shared" si="3"/>
        <v>0.75388010798648075</v>
      </c>
      <c r="R19" s="4">
        <v>13</v>
      </c>
      <c r="S19" s="4">
        <f t="shared" si="15"/>
        <v>609609.00360601302</v>
      </c>
      <c r="T19" s="4">
        <f t="shared" si="17"/>
        <v>0.74680347000000002</v>
      </c>
      <c r="U19" s="11">
        <f t="shared" si="13"/>
        <v>200905.47000000009</v>
      </c>
      <c r="V19" s="11">
        <f t="shared" si="14"/>
        <v>0.24611989201351919</v>
      </c>
      <c r="X19" s="3">
        <v>41624</v>
      </c>
      <c r="Y19">
        <v>33331.1</v>
      </c>
      <c r="AB19">
        <v>33331.1</v>
      </c>
      <c r="AE19">
        <v>33331.1</v>
      </c>
      <c r="AF19">
        <v>176984.34</v>
      </c>
      <c r="AI19">
        <v>176984.34</v>
      </c>
      <c r="AJ19">
        <v>246833.73</v>
      </c>
      <c r="AM19">
        <v>246833.73</v>
      </c>
      <c r="AN19">
        <v>119793.72</v>
      </c>
      <c r="AQ19">
        <v>119793.72</v>
      </c>
      <c r="AR19">
        <v>4083.77</v>
      </c>
      <c r="AT19">
        <v>4083.77</v>
      </c>
      <c r="AU19">
        <v>67690.039999999994</v>
      </c>
      <c r="AX19">
        <v>67690.039999999994</v>
      </c>
      <c r="BB19">
        <v>615385.60000000009</v>
      </c>
      <c r="BC19">
        <v>24332.36</v>
      </c>
      <c r="BF19">
        <v>24332.36</v>
      </c>
      <c r="BI19">
        <v>24332.36</v>
      </c>
      <c r="BX19">
        <v>816291.07000000018</v>
      </c>
      <c r="BY19" s="1"/>
      <c r="BZ19" s="1"/>
    </row>
    <row r="20" spans="4:78">
      <c r="D20" s="3">
        <v>41631</v>
      </c>
      <c r="E20" s="11">
        <f t="shared" si="4"/>
        <v>641100.91999999993</v>
      </c>
      <c r="F20" s="4">
        <f t="shared" si="5"/>
        <v>484013.62</v>
      </c>
      <c r="G20" s="4">
        <f t="shared" si="6"/>
        <v>0.75497258684326962</v>
      </c>
      <c r="H20" s="4">
        <f t="shared" si="0"/>
        <v>0</v>
      </c>
      <c r="I20" s="4">
        <f t="shared" si="1"/>
        <v>0</v>
      </c>
      <c r="J20" s="4">
        <f t="shared" si="7"/>
        <v>0</v>
      </c>
      <c r="K20" s="4">
        <f t="shared" si="8"/>
        <v>0</v>
      </c>
      <c r="L20" s="4">
        <f t="shared" si="9"/>
        <v>0</v>
      </c>
      <c r="M20" s="4">
        <f t="shared" si="10"/>
        <v>0</v>
      </c>
      <c r="N20" s="4">
        <f t="shared" si="11"/>
        <v>0</v>
      </c>
      <c r="O20" s="4">
        <f t="shared" si="12"/>
        <v>0</v>
      </c>
      <c r="P20" s="4">
        <f t="shared" si="2"/>
        <v>484013.62</v>
      </c>
      <c r="Q20" s="4">
        <f t="shared" si="3"/>
        <v>0.75497258684326962</v>
      </c>
      <c r="R20" s="4">
        <v>14</v>
      </c>
      <c r="S20" s="4">
        <f t="shared" si="15"/>
        <v>478941.27642180718</v>
      </c>
      <c r="T20" s="4">
        <f t="shared" si="17"/>
        <v>0.74706066000000004</v>
      </c>
      <c r="U20" s="11">
        <f t="shared" si="13"/>
        <v>157087.29999999993</v>
      </c>
      <c r="V20" s="11">
        <f t="shared" si="14"/>
        <v>0.24502741315673038</v>
      </c>
      <c r="X20" s="3">
        <v>41631</v>
      </c>
      <c r="Y20">
        <v>26363.89</v>
      </c>
      <c r="AB20">
        <v>26363.89</v>
      </c>
      <c r="AE20">
        <v>26363.89</v>
      </c>
      <c r="AF20">
        <v>137957.54999999999</v>
      </c>
      <c r="AI20">
        <v>137957.54999999999</v>
      </c>
      <c r="AJ20">
        <v>192627.38</v>
      </c>
      <c r="AM20">
        <v>192627.38</v>
      </c>
      <c r="AN20">
        <v>96834.92</v>
      </c>
      <c r="AQ20">
        <v>96834.92</v>
      </c>
      <c r="AR20">
        <v>2350.88</v>
      </c>
      <c r="AT20">
        <v>2350.88</v>
      </c>
      <c r="AU20">
        <v>54242.89</v>
      </c>
      <c r="AX20">
        <v>54242.89</v>
      </c>
      <c r="BB20">
        <v>484013.62</v>
      </c>
      <c r="BC20">
        <v>19111.18</v>
      </c>
      <c r="BF20">
        <v>19111.18</v>
      </c>
      <c r="BI20">
        <v>19111.18</v>
      </c>
      <c r="BX20">
        <v>641100.91999999993</v>
      </c>
      <c r="BY20" s="1"/>
      <c r="BZ20" s="1"/>
    </row>
    <row r="21" spans="4:78">
      <c r="D21" s="3">
        <v>41638</v>
      </c>
      <c r="E21" s="11">
        <f t="shared" si="4"/>
        <v>614242.32999999996</v>
      </c>
      <c r="F21" s="4">
        <f t="shared" si="5"/>
        <v>462122.08</v>
      </c>
      <c r="G21" s="4">
        <f t="shared" si="6"/>
        <v>0.75234489293500828</v>
      </c>
      <c r="H21" s="4">
        <f t="shared" si="0"/>
        <v>0</v>
      </c>
      <c r="I21" s="4">
        <f t="shared" si="1"/>
        <v>0</v>
      </c>
      <c r="J21" s="4">
        <f t="shared" si="7"/>
        <v>0</v>
      </c>
      <c r="K21" s="4">
        <f t="shared" si="8"/>
        <v>0</v>
      </c>
      <c r="L21" s="4">
        <f t="shared" si="9"/>
        <v>0</v>
      </c>
      <c r="M21" s="4">
        <f t="shared" si="10"/>
        <v>0</v>
      </c>
      <c r="N21" s="4">
        <f t="shared" si="11"/>
        <v>0</v>
      </c>
      <c r="O21" s="4">
        <f t="shared" si="12"/>
        <v>0</v>
      </c>
      <c r="P21" s="4">
        <f t="shared" si="2"/>
        <v>462122.08</v>
      </c>
      <c r="Q21" s="4">
        <f t="shared" si="3"/>
        <v>0.75234489293500828</v>
      </c>
      <c r="R21" s="4">
        <v>15</v>
      </c>
      <c r="S21" s="4">
        <f t="shared" si="15"/>
        <v>459034.25743459049</v>
      </c>
      <c r="T21" s="4">
        <f t="shared" si="17"/>
        <v>0.74731785000000006</v>
      </c>
      <c r="U21" s="11">
        <f t="shared" si="13"/>
        <v>152120.24999999994</v>
      </c>
      <c r="V21" s="11">
        <f t="shared" si="14"/>
        <v>0.24765510706499169</v>
      </c>
      <c r="X21" s="3">
        <v>41638</v>
      </c>
      <c r="Y21">
        <v>25812.75</v>
      </c>
      <c r="AB21">
        <v>25812.75</v>
      </c>
      <c r="AE21">
        <v>25812.75</v>
      </c>
      <c r="AF21">
        <v>135634.25</v>
      </c>
      <c r="AI21">
        <v>135634.25</v>
      </c>
      <c r="AJ21">
        <v>183289.95</v>
      </c>
      <c r="AM21">
        <v>183289.95</v>
      </c>
      <c r="AN21">
        <v>89912.06</v>
      </c>
      <c r="AQ21">
        <v>89912.06</v>
      </c>
      <c r="AR21">
        <v>2706.96</v>
      </c>
      <c r="AT21">
        <v>2706.96</v>
      </c>
      <c r="AU21">
        <v>50578.86</v>
      </c>
      <c r="AX21">
        <v>50578.86</v>
      </c>
      <c r="BB21">
        <v>462122.08</v>
      </c>
      <c r="BC21">
        <v>18556.18</v>
      </c>
      <c r="BF21">
        <v>18556.18</v>
      </c>
      <c r="BI21">
        <v>18556.18</v>
      </c>
      <c r="BX21">
        <v>614242.32999999996</v>
      </c>
      <c r="BY21" s="1"/>
      <c r="BZ21" s="1"/>
    </row>
    <row r="22" spans="4:78">
      <c r="D22" s="3">
        <v>41645</v>
      </c>
      <c r="E22" s="11">
        <f t="shared" si="4"/>
        <v>698432.23</v>
      </c>
      <c r="F22" s="4">
        <f t="shared" si="5"/>
        <v>526358.51</v>
      </c>
      <c r="G22" s="4">
        <f t="shared" si="6"/>
        <v>0.75362860903483797</v>
      </c>
      <c r="H22" s="4">
        <f t="shared" si="0"/>
        <v>0</v>
      </c>
      <c r="I22" s="4">
        <f t="shared" si="1"/>
        <v>0</v>
      </c>
      <c r="J22" s="4">
        <f t="shared" si="7"/>
        <v>0</v>
      </c>
      <c r="K22" s="4">
        <f t="shared" si="8"/>
        <v>0</v>
      </c>
      <c r="L22" s="4">
        <f t="shared" si="9"/>
        <v>0</v>
      </c>
      <c r="M22" s="4">
        <f t="shared" si="10"/>
        <v>0</v>
      </c>
      <c r="N22" s="4">
        <f t="shared" si="11"/>
        <v>0</v>
      </c>
      <c r="O22" s="4">
        <f t="shared" si="12"/>
        <v>0</v>
      </c>
      <c r="P22" s="4">
        <f t="shared" si="2"/>
        <v>526358.51</v>
      </c>
      <c r="Q22" s="4">
        <f t="shared" si="3"/>
        <v>0.75362860903483797</v>
      </c>
      <c r="R22" s="4">
        <v>16</v>
      </c>
      <c r="S22" s="4">
        <f t="shared" si="15"/>
        <v>522130.50227953919</v>
      </c>
      <c r="T22" s="4">
        <f t="shared" si="17"/>
        <v>0.74757503999999997</v>
      </c>
      <c r="U22" s="11">
        <f t="shared" si="13"/>
        <v>172073.71999999997</v>
      </c>
      <c r="V22" s="11">
        <f t="shared" si="14"/>
        <v>0.24637139096516203</v>
      </c>
      <c r="X22" s="3">
        <v>41645</v>
      </c>
      <c r="Z22">
        <v>27100.06</v>
      </c>
      <c r="AB22">
        <v>27100.06</v>
      </c>
      <c r="AE22">
        <v>27100.06</v>
      </c>
      <c r="AG22">
        <v>154450.75</v>
      </c>
      <c r="AI22">
        <v>154450.75</v>
      </c>
      <c r="AK22">
        <v>217633.31</v>
      </c>
      <c r="AM22">
        <v>217633.31</v>
      </c>
      <c r="AO22">
        <v>94932.06</v>
      </c>
      <c r="AQ22">
        <v>94932.06</v>
      </c>
      <c r="AS22">
        <v>3094.44</v>
      </c>
      <c r="AT22">
        <v>3094.44</v>
      </c>
      <c r="AV22">
        <v>56247.95</v>
      </c>
      <c r="AX22">
        <v>56247.95</v>
      </c>
      <c r="BB22">
        <v>526358.51</v>
      </c>
      <c r="BD22">
        <v>20203.419999999998</v>
      </c>
      <c r="BF22">
        <v>20203.419999999998</v>
      </c>
      <c r="BI22">
        <v>20203.419999999998</v>
      </c>
      <c r="BX22">
        <v>698432.23</v>
      </c>
      <c r="BY22" s="1"/>
      <c r="BZ22" s="1"/>
    </row>
    <row r="23" spans="4:78">
      <c r="D23" s="3">
        <v>41652</v>
      </c>
      <c r="E23" s="11">
        <f t="shared" si="4"/>
        <v>695185.44000000006</v>
      </c>
      <c r="F23" s="4">
        <f t="shared" si="5"/>
        <v>523011.73999999993</v>
      </c>
      <c r="G23" s="4">
        <f t="shared" si="6"/>
        <v>0.7523341397944121</v>
      </c>
      <c r="H23" s="4">
        <f t="shared" si="0"/>
        <v>0</v>
      </c>
      <c r="I23" s="4">
        <f t="shared" si="1"/>
        <v>0</v>
      </c>
      <c r="J23" s="4">
        <f t="shared" si="7"/>
        <v>0</v>
      </c>
      <c r="K23" s="4">
        <f t="shared" si="8"/>
        <v>0</v>
      </c>
      <c r="L23" s="4">
        <f t="shared" si="9"/>
        <v>0</v>
      </c>
      <c r="M23" s="4">
        <f t="shared" si="10"/>
        <v>0</v>
      </c>
      <c r="N23" s="4">
        <f t="shared" si="11"/>
        <v>0</v>
      </c>
      <c r="O23" s="4">
        <f t="shared" si="12"/>
        <v>0</v>
      </c>
      <c r="P23" s="4">
        <f t="shared" si="2"/>
        <v>523011.73999999993</v>
      </c>
      <c r="Q23" s="4">
        <f t="shared" si="3"/>
        <v>0.7523341397944121</v>
      </c>
      <c r="R23" s="4">
        <v>17</v>
      </c>
      <c r="S23" s="4">
        <f t="shared" si="15"/>
        <v>519882.07785873121</v>
      </c>
      <c r="T23" s="4">
        <f t="shared" si="17"/>
        <v>0.74783222999999999</v>
      </c>
      <c r="U23" s="11">
        <f t="shared" si="13"/>
        <v>172173.70000000013</v>
      </c>
      <c r="V23" s="11">
        <f t="shared" si="14"/>
        <v>0.2476658602055879</v>
      </c>
      <c r="X23" s="3">
        <v>41652</v>
      </c>
      <c r="Z23">
        <v>27726.92</v>
      </c>
      <c r="AB23">
        <v>27726.92</v>
      </c>
      <c r="AE23">
        <v>27726.92</v>
      </c>
      <c r="AG23">
        <v>153483.76999999999</v>
      </c>
      <c r="AI23">
        <v>153483.76999999999</v>
      </c>
      <c r="AK23">
        <v>211070.98</v>
      </c>
      <c r="AM23">
        <v>211070.98</v>
      </c>
      <c r="AO23">
        <v>97853.73</v>
      </c>
      <c r="AQ23">
        <v>97853.73</v>
      </c>
      <c r="AS23">
        <v>2830.04</v>
      </c>
      <c r="AT23">
        <v>2830.04</v>
      </c>
      <c r="AV23">
        <v>57774.35</v>
      </c>
      <c r="AX23">
        <v>57774.35</v>
      </c>
      <c r="AZ23">
        <v>-1.1299999999999999</v>
      </c>
      <c r="BA23">
        <v>-1.1299999999999999</v>
      </c>
      <c r="BB23">
        <v>523011.73999999993</v>
      </c>
      <c r="BD23">
        <v>19926.560000000001</v>
      </c>
      <c r="BF23">
        <v>19926.560000000001</v>
      </c>
      <c r="BI23">
        <v>19926.560000000001</v>
      </c>
      <c r="BX23">
        <v>695185.44000000006</v>
      </c>
      <c r="BY23" s="1"/>
      <c r="BZ23" s="1"/>
    </row>
    <row r="24" spans="4:78">
      <c r="D24" s="3">
        <v>41659</v>
      </c>
      <c r="E24" s="11">
        <f t="shared" si="4"/>
        <v>671856.46999999986</v>
      </c>
      <c r="F24" s="4">
        <f t="shared" si="5"/>
        <v>505183.32999999996</v>
      </c>
      <c r="G24" s="4">
        <f t="shared" si="6"/>
        <v>0.75192150787801459</v>
      </c>
      <c r="H24" s="4">
        <f t="shared" si="0"/>
        <v>0</v>
      </c>
      <c r="I24" s="4">
        <f t="shared" si="1"/>
        <v>0</v>
      </c>
      <c r="J24" s="4">
        <f t="shared" si="7"/>
        <v>0</v>
      </c>
      <c r="K24" s="4">
        <f t="shared" si="8"/>
        <v>0</v>
      </c>
      <c r="L24" s="4">
        <f t="shared" si="9"/>
        <v>0</v>
      </c>
      <c r="M24" s="4">
        <f t="shared" si="10"/>
        <v>0</v>
      </c>
      <c r="N24" s="4">
        <f t="shared" si="11"/>
        <v>0</v>
      </c>
      <c r="O24" s="4">
        <f t="shared" si="12"/>
        <v>0</v>
      </c>
      <c r="P24" s="4">
        <f t="shared" si="2"/>
        <v>505183.32999999996</v>
      </c>
      <c r="Q24" s="4">
        <f t="shared" si="3"/>
        <v>0.75192150787801459</v>
      </c>
      <c r="R24" s="4">
        <v>18</v>
      </c>
      <c r="S24" s="4">
        <f t="shared" si="15"/>
        <v>502608.7169655473</v>
      </c>
      <c r="T24" s="4">
        <f t="shared" si="17"/>
        <v>0.74808942</v>
      </c>
      <c r="U24" s="11">
        <f t="shared" si="13"/>
        <v>166673.1399999999</v>
      </c>
      <c r="V24" s="11">
        <f t="shared" si="14"/>
        <v>0.24807849212198543</v>
      </c>
      <c r="X24" s="3">
        <v>41659</v>
      </c>
      <c r="Z24">
        <v>26715.87</v>
      </c>
      <c r="AB24">
        <v>26715.87</v>
      </c>
      <c r="AE24">
        <v>26715.87</v>
      </c>
      <c r="AG24">
        <v>152226.29</v>
      </c>
      <c r="AI24">
        <v>152226.29</v>
      </c>
      <c r="AK24">
        <v>198115.31</v>
      </c>
      <c r="AM24">
        <v>198115.31</v>
      </c>
      <c r="AO24">
        <v>96728.25</v>
      </c>
      <c r="AQ24">
        <v>96728.25</v>
      </c>
      <c r="AS24">
        <v>2241.86</v>
      </c>
      <c r="AT24">
        <v>2241.86</v>
      </c>
      <c r="AV24">
        <v>55871.62</v>
      </c>
      <c r="AX24">
        <v>55871.62</v>
      </c>
      <c r="BB24">
        <v>505183.32999999996</v>
      </c>
      <c r="BD24">
        <v>19171.32</v>
      </c>
      <c r="BF24">
        <v>19171.32</v>
      </c>
      <c r="BI24">
        <v>19171.32</v>
      </c>
      <c r="BX24">
        <v>671856.46999999986</v>
      </c>
      <c r="BY24" s="1"/>
      <c r="BZ24" s="1"/>
    </row>
    <row r="25" spans="4:78">
      <c r="D25" s="3">
        <v>41666</v>
      </c>
      <c r="E25" s="11">
        <f t="shared" si="4"/>
        <v>692956.39</v>
      </c>
      <c r="F25" s="4">
        <f t="shared" si="5"/>
        <v>522112.5</v>
      </c>
      <c r="G25" s="4">
        <f t="shared" si="6"/>
        <v>0.75345650539422837</v>
      </c>
      <c r="H25" s="4">
        <f t="shared" si="0"/>
        <v>0</v>
      </c>
      <c r="I25" s="4">
        <f t="shared" si="1"/>
        <v>0</v>
      </c>
      <c r="J25" s="4">
        <f t="shared" si="7"/>
        <v>0</v>
      </c>
      <c r="K25" s="4">
        <f t="shared" si="8"/>
        <v>0</v>
      </c>
      <c r="L25" s="4">
        <f t="shared" si="9"/>
        <v>0</v>
      </c>
      <c r="M25" s="4">
        <f t="shared" si="10"/>
        <v>0</v>
      </c>
      <c r="N25" s="4">
        <f t="shared" si="11"/>
        <v>0</v>
      </c>
      <c r="O25" s="4">
        <f t="shared" si="12"/>
        <v>0</v>
      </c>
      <c r="P25" s="4">
        <f t="shared" si="2"/>
        <v>522112.5</v>
      </c>
      <c r="Q25" s="4">
        <f t="shared" si="3"/>
        <v>0.75345650539422837</v>
      </c>
      <c r="R25" s="4">
        <v>19</v>
      </c>
      <c r="S25" s="4">
        <f t="shared" si="15"/>
        <v>518571.56533433794</v>
      </c>
      <c r="T25" s="4">
        <f t="shared" si="17"/>
        <v>0.74834661000000002</v>
      </c>
      <c r="U25" s="11">
        <f t="shared" si="13"/>
        <v>170843.89</v>
      </c>
      <c r="V25" s="11">
        <f t="shared" si="14"/>
        <v>0.24654349460577168</v>
      </c>
      <c r="X25" s="3">
        <v>41666</v>
      </c>
      <c r="Z25">
        <v>26876.46</v>
      </c>
      <c r="AB25">
        <v>26876.46</v>
      </c>
      <c r="AE25">
        <v>26876.46</v>
      </c>
      <c r="AG25">
        <v>154567.94</v>
      </c>
      <c r="AI25">
        <v>154567.94</v>
      </c>
      <c r="AK25">
        <v>213319.83</v>
      </c>
      <c r="AM25">
        <v>213319.83</v>
      </c>
      <c r="AO25">
        <v>95677.05</v>
      </c>
      <c r="AQ25">
        <v>95677.05</v>
      </c>
      <c r="AS25">
        <v>833.23</v>
      </c>
      <c r="AT25">
        <v>833.23</v>
      </c>
      <c r="AV25">
        <v>57714.45</v>
      </c>
      <c r="AX25">
        <v>57714.45</v>
      </c>
      <c r="BB25">
        <v>522112.5</v>
      </c>
      <c r="BD25">
        <v>19234.25</v>
      </c>
      <c r="BF25">
        <v>19234.25</v>
      </c>
      <c r="BI25">
        <v>19234.25</v>
      </c>
      <c r="BX25">
        <v>692956.39</v>
      </c>
      <c r="BY25" s="1"/>
      <c r="BZ25" s="1"/>
    </row>
    <row r="26" spans="4:78">
      <c r="D26" s="3">
        <v>41673</v>
      </c>
      <c r="E26" s="11">
        <f t="shared" si="4"/>
        <v>635034.70000000019</v>
      </c>
      <c r="F26" s="4">
        <f t="shared" si="5"/>
        <v>473059.6</v>
      </c>
      <c r="G26" s="4">
        <f t="shared" si="6"/>
        <v>0.74493504055762594</v>
      </c>
      <c r="H26" s="4">
        <f t="shared" si="0"/>
        <v>0</v>
      </c>
      <c r="I26" s="4">
        <f t="shared" si="1"/>
        <v>0</v>
      </c>
      <c r="J26" s="4">
        <f t="shared" si="7"/>
        <v>0</v>
      </c>
      <c r="K26" s="4">
        <f t="shared" si="8"/>
        <v>0</v>
      </c>
      <c r="L26" s="4">
        <f t="shared" si="9"/>
        <v>0</v>
      </c>
      <c r="M26" s="4">
        <f t="shared" si="10"/>
        <v>0</v>
      </c>
      <c r="N26" s="4">
        <f t="shared" si="11"/>
        <v>0</v>
      </c>
      <c r="O26" s="4">
        <f t="shared" si="12"/>
        <v>0</v>
      </c>
      <c r="P26" s="4">
        <f t="shared" si="2"/>
        <v>473059.6</v>
      </c>
      <c r="Q26" s="4">
        <f t="shared" si="3"/>
        <v>0.74493504055762594</v>
      </c>
      <c r="R26" s="4">
        <v>20</v>
      </c>
      <c r="S26" s="4">
        <f t="shared" si="15"/>
        <v>475389.38955186016</v>
      </c>
      <c r="T26" s="4">
        <f t="shared" si="17"/>
        <v>0.74860380000000004</v>
      </c>
      <c r="U26" s="11">
        <f t="shared" si="13"/>
        <v>161975.10000000021</v>
      </c>
      <c r="V26" s="11">
        <f t="shared" si="14"/>
        <v>0.25506495944237406</v>
      </c>
      <c r="X26" s="3">
        <v>41673</v>
      </c>
      <c r="Z26">
        <v>26052.62</v>
      </c>
      <c r="AB26">
        <v>26052.62</v>
      </c>
      <c r="AE26">
        <v>26052.62</v>
      </c>
      <c r="AG26">
        <v>149123.24</v>
      </c>
      <c r="AI26">
        <v>149123.24</v>
      </c>
      <c r="AK26">
        <v>174350.2</v>
      </c>
      <c r="AM26">
        <v>174350.2</v>
      </c>
      <c r="AO26">
        <v>90620.24</v>
      </c>
      <c r="AQ26">
        <v>90620.24</v>
      </c>
      <c r="AS26">
        <v>3104.49</v>
      </c>
      <c r="AT26">
        <v>3104.49</v>
      </c>
      <c r="AV26">
        <v>55861.43</v>
      </c>
      <c r="AX26">
        <v>55861.43</v>
      </c>
      <c r="BB26">
        <v>473059.6</v>
      </c>
      <c r="BD26">
        <v>18640.79</v>
      </c>
      <c r="BF26">
        <v>18640.79</v>
      </c>
      <c r="BI26">
        <v>18640.79</v>
      </c>
      <c r="BX26">
        <v>635034.70000000019</v>
      </c>
      <c r="BY26" s="1"/>
      <c r="BZ26" s="1"/>
    </row>
    <row r="27" spans="4:78">
      <c r="D27" s="3">
        <v>41680</v>
      </c>
      <c r="E27" s="11">
        <f t="shared" si="4"/>
        <v>660232.47999999986</v>
      </c>
      <c r="F27" s="4">
        <f t="shared" si="5"/>
        <v>494590.12000000005</v>
      </c>
      <c r="G27" s="4">
        <f t="shared" si="6"/>
        <v>0.74911509957825784</v>
      </c>
      <c r="H27" s="4">
        <f t="shared" si="0"/>
        <v>0</v>
      </c>
      <c r="I27" s="4">
        <f t="shared" si="1"/>
        <v>0</v>
      </c>
      <c r="J27" s="4">
        <f t="shared" si="7"/>
        <v>0</v>
      </c>
      <c r="K27" s="4">
        <f t="shared" si="8"/>
        <v>0</v>
      </c>
      <c r="L27" s="4">
        <f t="shared" si="9"/>
        <v>0</v>
      </c>
      <c r="M27" s="4">
        <f t="shared" si="10"/>
        <v>0</v>
      </c>
      <c r="N27" s="4">
        <f t="shared" si="11"/>
        <v>0</v>
      </c>
      <c r="O27" s="4">
        <f t="shared" si="12"/>
        <v>0</v>
      </c>
      <c r="P27" s="4">
        <f t="shared" si="2"/>
        <v>494590.12000000005</v>
      </c>
      <c r="Q27" s="4">
        <f t="shared" si="3"/>
        <v>0.74911509957825784</v>
      </c>
      <c r="R27" s="4">
        <v>21</v>
      </c>
      <c r="S27" s="4">
        <f t="shared" si="15"/>
        <v>494422.34860295511</v>
      </c>
      <c r="T27" s="4">
        <f t="shared" si="17"/>
        <v>0.74886099000000006</v>
      </c>
      <c r="U27" s="11">
        <f t="shared" si="13"/>
        <v>165642.35999999981</v>
      </c>
      <c r="V27" s="11">
        <f t="shared" si="14"/>
        <v>0.25088490042174211</v>
      </c>
      <c r="X27" s="3">
        <v>41680</v>
      </c>
      <c r="Z27">
        <v>27273.040000000001</v>
      </c>
      <c r="AB27">
        <v>27273.040000000001</v>
      </c>
      <c r="AE27">
        <v>27273.040000000001</v>
      </c>
      <c r="AG27">
        <v>153060.32</v>
      </c>
      <c r="AI27">
        <v>153060.32</v>
      </c>
      <c r="AK27">
        <v>184318.1</v>
      </c>
      <c r="AM27">
        <v>184318.1</v>
      </c>
      <c r="AO27">
        <v>94819.87</v>
      </c>
      <c r="AQ27">
        <v>94819.87</v>
      </c>
      <c r="AS27">
        <v>3172.03</v>
      </c>
      <c r="AT27">
        <v>3172.03</v>
      </c>
      <c r="AV27">
        <v>59219.8</v>
      </c>
      <c r="AX27">
        <v>59219.8</v>
      </c>
      <c r="BB27">
        <v>494590.12000000005</v>
      </c>
      <c r="BD27">
        <v>19362.38</v>
      </c>
      <c r="BF27">
        <v>19362.38</v>
      </c>
      <c r="BI27">
        <v>19362.38</v>
      </c>
      <c r="BX27">
        <v>660232.47999999986</v>
      </c>
      <c r="BY27" s="1"/>
      <c r="BZ27" s="1"/>
    </row>
    <row r="28" spans="4:78">
      <c r="D28" s="3">
        <v>41687</v>
      </c>
      <c r="E28" s="11">
        <f t="shared" si="4"/>
        <v>760191.15</v>
      </c>
      <c r="F28" s="4">
        <f t="shared" si="5"/>
        <v>574216.71</v>
      </c>
      <c r="G28" s="4">
        <f t="shared" si="6"/>
        <v>0.75535832007515469</v>
      </c>
      <c r="H28" s="4">
        <f t="shared" si="0"/>
        <v>0</v>
      </c>
      <c r="I28" s="4">
        <f t="shared" si="1"/>
        <v>0</v>
      </c>
      <c r="J28" s="4">
        <f t="shared" si="7"/>
        <v>0</v>
      </c>
      <c r="K28" s="4">
        <f t="shared" si="8"/>
        <v>0</v>
      </c>
      <c r="L28" s="4">
        <f t="shared" si="9"/>
        <v>0</v>
      </c>
      <c r="M28" s="4">
        <f t="shared" si="10"/>
        <v>0</v>
      </c>
      <c r="N28" s="4">
        <f t="shared" si="11"/>
        <v>0</v>
      </c>
      <c r="O28" s="4">
        <f t="shared" si="12"/>
        <v>0</v>
      </c>
      <c r="P28" s="4">
        <f t="shared" si="2"/>
        <v>574216.71</v>
      </c>
      <c r="Q28" s="4">
        <f t="shared" si="3"/>
        <v>0.75535832007515469</v>
      </c>
      <c r="R28" s="4">
        <v>22</v>
      </c>
      <c r="S28" s="4">
        <f t="shared" si="15"/>
        <v>569473.01074010704</v>
      </c>
      <c r="T28" s="4">
        <f t="shared" si="17"/>
        <v>0.74911817999999997</v>
      </c>
      <c r="U28" s="11">
        <f t="shared" si="13"/>
        <v>185974.44000000006</v>
      </c>
      <c r="V28" s="11">
        <f t="shared" si="14"/>
        <v>0.24464167992484528</v>
      </c>
      <c r="X28" s="3">
        <v>41687</v>
      </c>
      <c r="Z28">
        <v>31320.51</v>
      </c>
      <c r="AB28">
        <v>31320.51</v>
      </c>
      <c r="AE28">
        <v>31320.51</v>
      </c>
      <c r="AG28">
        <v>171365.95</v>
      </c>
      <c r="AI28">
        <v>171365.95</v>
      </c>
      <c r="AK28">
        <v>221638.31</v>
      </c>
      <c r="AM28">
        <v>221638.31</v>
      </c>
      <c r="AO28">
        <v>109708.93</v>
      </c>
      <c r="AQ28">
        <v>109708.93</v>
      </c>
      <c r="AS28">
        <v>3576.38</v>
      </c>
      <c r="AT28">
        <v>3576.38</v>
      </c>
      <c r="AV28">
        <v>67927.14</v>
      </c>
      <c r="AX28">
        <v>67927.14</v>
      </c>
      <c r="BB28">
        <v>574216.71</v>
      </c>
      <c r="BD28">
        <v>22054.78</v>
      </c>
      <c r="BF28">
        <v>22054.78</v>
      </c>
      <c r="BI28">
        <v>22054.78</v>
      </c>
      <c r="BX28">
        <v>760191.15</v>
      </c>
      <c r="BY28" s="1"/>
      <c r="BZ28" s="1"/>
    </row>
    <row r="29" spans="4:78">
      <c r="D29" s="3">
        <v>41694</v>
      </c>
      <c r="E29" s="11">
        <f t="shared" si="4"/>
        <v>836510.87000000011</v>
      </c>
      <c r="F29" s="4">
        <f t="shared" si="5"/>
        <v>634772.51</v>
      </c>
      <c r="G29" s="4">
        <f t="shared" si="6"/>
        <v>0.75883354629928468</v>
      </c>
      <c r="H29" s="4">
        <f t="shared" si="0"/>
        <v>0</v>
      </c>
      <c r="I29" s="4">
        <f t="shared" si="1"/>
        <v>0</v>
      </c>
      <c r="J29" s="4">
        <f t="shared" si="7"/>
        <v>0</v>
      </c>
      <c r="K29" s="4">
        <f t="shared" si="8"/>
        <v>0</v>
      </c>
      <c r="L29" s="4">
        <f t="shared" si="9"/>
        <v>0</v>
      </c>
      <c r="M29" s="4">
        <f t="shared" si="10"/>
        <v>0</v>
      </c>
      <c r="N29" s="4">
        <f t="shared" si="11"/>
        <v>0</v>
      </c>
      <c r="O29" s="4">
        <f t="shared" si="12"/>
        <v>0</v>
      </c>
      <c r="P29" s="4">
        <f t="shared" si="2"/>
        <v>634772.51</v>
      </c>
      <c r="Q29" s="4">
        <f t="shared" si="3"/>
        <v>0.75883354629928468</v>
      </c>
      <c r="R29" s="4">
        <v>23</v>
      </c>
      <c r="S29" s="4">
        <f t="shared" si="15"/>
        <v>626860.64271527203</v>
      </c>
      <c r="T29" s="4">
        <f t="shared" si="17"/>
        <v>0.74937536999999999</v>
      </c>
      <c r="U29" s="11">
        <f t="shared" si="13"/>
        <v>201738.3600000001</v>
      </c>
      <c r="V29" s="11">
        <f t="shared" si="14"/>
        <v>0.24116645370071529</v>
      </c>
      <c r="X29" s="3">
        <v>41694</v>
      </c>
      <c r="Z29">
        <v>32473.3</v>
      </c>
      <c r="AB29">
        <v>32473.3</v>
      </c>
      <c r="AE29">
        <v>32473.3</v>
      </c>
      <c r="AG29">
        <v>179915.9</v>
      </c>
      <c r="AI29">
        <v>179915.9</v>
      </c>
      <c r="AK29">
        <v>260914.78</v>
      </c>
      <c r="AM29">
        <v>260914.78</v>
      </c>
      <c r="AO29">
        <v>119914.4</v>
      </c>
      <c r="AQ29">
        <v>119914.4</v>
      </c>
      <c r="AS29">
        <v>3809.11</v>
      </c>
      <c r="AT29">
        <v>3809.11</v>
      </c>
      <c r="AV29">
        <v>70218.320000000007</v>
      </c>
      <c r="AX29">
        <v>70218.320000000007</v>
      </c>
      <c r="BB29">
        <v>634772.51</v>
      </c>
      <c r="BD29">
        <v>23008.93</v>
      </c>
      <c r="BF29">
        <v>23008.93</v>
      </c>
      <c r="BI29">
        <v>23008.93</v>
      </c>
      <c r="BX29">
        <v>836510.87000000011</v>
      </c>
      <c r="BY29" s="1"/>
      <c r="BZ29" s="1"/>
    </row>
    <row r="30" spans="4:78">
      <c r="D30" s="3">
        <v>41701</v>
      </c>
      <c r="E30" s="11">
        <f t="shared" si="4"/>
        <v>886049.63000000012</v>
      </c>
      <c r="F30" s="4">
        <f t="shared" si="5"/>
        <v>670476.19000000006</v>
      </c>
      <c r="G30" s="4">
        <f t="shared" si="6"/>
        <v>0.75670274812935701</v>
      </c>
      <c r="H30" s="4">
        <f t="shared" si="0"/>
        <v>0</v>
      </c>
      <c r="I30" s="4">
        <f t="shared" si="1"/>
        <v>0</v>
      </c>
      <c r="J30" s="4">
        <f t="shared" si="7"/>
        <v>0</v>
      </c>
      <c r="K30" s="4">
        <f t="shared" si="8"/>
        <v>0</v>
      </c>
      <c r="L30" s="4">
        <f t="shared" si="9"/>
        <v>0</v>
      </c>
      <c r="M30" s="4">
        <f t="shared" si="10"/>
        <v>0</v>
      </c>
      <c r="N30" s="4">
        <f t="shared" si="11"/>
        <v>0</v>
      </c>
      <c r="O30" s="4">
        <f t="shared" si="12"/>
        <v>0</v>
      </c>
      <c r="P30" s="4">
        <f t="shared" si="2"/>
        <v>670476.19000000006</v>
      </c>
      <c r="Q30" s="4">
        <f t="shared" si="3"/>
        <v>0.75670274812935701</v>
      </c>
      <c r="R30" s="4">
        <v>24</v>
      </c>
      <c r="S30" s="4">
        <f t="shared" si="15"/>
        <v>664211.65242395294</v>
      </c>
      <c r="T30" s="4">
        <f t="shared" si="17"/>
        <v>0.74963256</v>
      </c>
      <c r="U30" s="11">
        <f t="shared" si="13"/>
        <v>215573.44000000006</v>
      </c>
      <c r="V30" s="11">
        <f t="shared" si="14"/>
        <v>0.24329725187064299</v>
      </c>
      <c r="X30" s="3">
        <v>41701</v>
      </c>
      <c r="Z30">
        <v>37425.58</v>
      </c>
      <c r="AB30">
        <v>37425.58</v>
      </c>
      <c r="AE30">
        <v>37425.58</v>
      </c>
      <c r="AG30">
        <v>254450.51</v>
      </c>
      <c r="AI30">
        <v>254450.51</v>
      </c>
      <c r="AK30">
        <v>235746.13</v>
      </c>
      <c r="AM30">
        <v>235746.13</v>
      </c>
      <c r="AO30">
        <v>111208.44</v>
      </c>
      <c r="AQ30">
        <v>111208.44</v>
      </c>
      <c r="AS30">
        <v>3608.97</v>
      </c>
      <c r="AT30">
        <v>3608.97</v>
      </c>
      <c r="AV30">
        <v>65462.14</v>
      </c>
      <c r="AX30">
        <v>65462.14</v>
      </c>
      <c r="BB30">
        <v>670476.19000000006</v>
      </c>
      <c r="BD30">
        <v>27774.83</v>
      </c>
      <c r="BF30">
        <v>27774.83</v>
      </c>
      <c r="BI30">
        <v>27774.83</v>
      </c>
      <c r="BX30">
        <v>886049.63000000012</v>
      </c>
      <c r="BY30" s="1"/>
      <c r="BZ30" s="1"/>
    </row>
    <row r="31" spans="4:78">
      <c r="D31" s="3">
        <v>41708</v>
      </c>
      <c r="E31" s="11">
        <f t="shared" si="4"/>
        <v>882119.96000000008</v>
      </c>
      <c r="F31" s="4">
        <f t="shared" si="5"/>
        <v>667610.99000000011</v>
      </c>
      <c r="G31" s="4">
        <f t="shared" si="6"/>
        <v>0.75682562494107952</v>
      </c>
      <c r="H31" s="4">
        <f t="shared" si="0"/>
        <v>0</v>
      </c>
      <c r="I31" s="4">
        <f t="shared" si="1"/>
        <v>0</v>
      </c>
      <c r="J31" s="4">
        <f t="shared" si="7"/>
        <v>0</v>
      </c>
      <c r="K31" s="4">
        <f t="shared" si="8"/>
        <v>0</v>
      </c>
      <c r="L31" s="4">
        <f t="shared" si="9"/>
        <v>0</v>
      </c>
      <c r="M31" s="4">
        <f t="shared" si="10"/>
        <v>0</v>
      </c>
      <c r="N31" s="4">
        <f t="shared" si="11"/>
        <v>0</v>
      </c>
      <c r="O31" s="4">
        <f t="shared" si="12"/>
        <v>0</v>
      </c>
      <c r="P31" s="4">
        <f t="shared" si="2"/>
        <v>667610.99000000011</v>
      </c>
      <c r="Q31" s="4">
        <f t="shared" si="3"/>
        <v>0.75682562494107952</v>
      </c>
      <c r="R31" s="4">
        <v>25</v>
      </c>
      <c r="S31" s="4">
        <f t="shared" si="15"/>
        <v>661492.71627441002</v>
      </c>
      <c r="T31" s="4">
        <f t="shared" si="17"/>
        <v>0.74988975000000002</v>
      </c>
      <c r="U31" s="11">
        <f t="shared" si="13"/>
        <v>214508.96999999997</v>
      </c>
      <c r="V31" s="11">
        <f t="shared" si="14"/>
        <v>0.24317437505892051</v>
      </c>
      <c r="X31" s="3">
        <v>41708</v>
      </c>
      <c r="Z31">
        <v>37243.65</v>
      </c>
      <c r="AB31">
        <v>37243.65</v>
      </c>
      <c r="AE31">
        <v>37243.65</v>
      </c>
      <c r="AG31">
        <v>220026.72</v>
      </c>
      <c r="AI31">
        <v>220026.72</v>
      </c>
      <c r="AK31">
        <v>251177.32</v>
      </c>
      <c r="AM31">
        <v>251177.32</v>
      </c>
      <c r="AO31">
        <v>120076.01</v>
      </c>
      <c r="AQ31">
        <v>120076.01</v>
      </c>
      <c r="AS31">
        <v>3703.31</v>
      </c>
      <c r="AT31">
        <v>3703.31</v>
      </c>
      <c r="AV31">
        <v>72627.63</v>
      </c>
      <c r="AX31">
        <v>72627.63</v>
      </c>
      <c r="BB31">
        <v>667610.99000000011</v>
      </c>
      <c r="BD31">
        <v>26704.639999999999</v>
      </c>
      <c r="BF31">
        <v>26704.639999999999</v>
      </c>
      <c r="BI31">
        <v>26704.639999999999</v>
      </c>
      <c r="BX31">
        <v>882119.96000000008</v>
      </c>
      <c r="BY31" s="1"/>
      <c r="BZ31" s="1"/>
    </row>
    <row r="32" spans="4:78">
      <c r="D32" s="3">
        <v>41715</v>
      </c>
      <c r="E32" s="11">
        <f t="shared" si="4"/>
        <v>873737.97999999986</v>
      </c>
      <c r="F32" s="4">
        <f t="shared" si="5"/>
        <v>659664.67000000004</v>
      </c>
      <c r="G32" s="4">
        <f t="shared" si="6"/>
        <v>0.7549914105828387</v>
      </c>
      <c r="H32" s="4">
        <f t="shared" si="0"/>
        <v>0</v>
      </c>
      <c r="I32" s="4">
        <f t="shared" si="1"/>
        <v>0</v>
      </c>
      <c r="J32" s="4">
        <f t="shared" si="7"/>
        <v>0</v>
      </c>
      <c r="K32" s="4">
        <f t="shared" si="8"/>
        <v>0</v>
      </c>
      <c r="L32" s="4">
        <f t="shared" si="9"/>
        <v>0</v>
      </c>
      <c r="M32" s="4">
        <f t="shared" si="10"/>
        <v>0</v>
      </c>
      <c r="N32" s="4">
        <f t="shared" si="11"/>
        <v>0</v>
      </c>
      <c r="O32" s="4">
        <f t="shared" si="12"/>
        <v>0</v>
      </c>
      <c r="P32" s="4">
        <f t="shared" si="2"/>
        <v>659664.67000000004</v>
      </c>
      <c r="Q32" s="4">
        <f t="shared" si="3"/>
        <v>0.7549914105828387</v>
      </c>
      <c r="R32" s="4">
        <v>26</v>
      </c>
      <c r="S32" s="4">
        <f t="shared" si="15"/>
        <v>655431.8720587811</v>
      </c>
      <c r="T32" s="4">
        <f t="shared" si="17"/>
        <v>0.75014694000000004</v>
      </c>
      <c r="U32" s="11">
        <f t="shared" si="13"/>
        <v>214073.30999999982</v>
      </c>
      <c r="V32" s="11">
        <f t="shared" si="14"/>
        <v>0.24500858941716125</v>
      </c>
      <c r="X32" s="3">
        <v>41715</v>
      </c>
      <c r="Z32">
        <v>35989.24</v>
      </c>
      <c r="AB32">
        <v>35989.24</v>
      </c>
      <c r="AE32">
        <v>35989.24</v>
      </c>
      <c r="AG32">
        <v>206386.07</v>
      </c>
      <c r="AI32">
        <v>206386.07</v>
      </c>
      <c r="AK32">
        <v>257167.77</v>
      </c>
      <c r="AM32">
        <v>257167.77</v>
      </c>
      <c r="AO32">
        <v>120125.94</v>
      </c>
      <c r="AQ32">
        <v>120125.94</v>
      </c>
      <c r="AS32">
        <v>3957.52</v>
      </c>
      <c r="AT32">
        <v>3957.52</v>
      </c>
      <c r="AV32">
        <v>72027.37</v>
      </c>
      <c r="AX32">
        <v>72027.37</v>
      </c>
      <c r="BB32">
        <v>659664.67000000004</v>
      </c>
      <c r="BD32">
        <v>25813.439999999999</v>
      </c>
      <c r="BF32">
        <v>25813.439999999999</v>
      </c>
      <c r="BI32">
        <v>25813.439999999999</v>
      </c>
      <c r="BX32">
        <v>873737.97999999986</v>
      </c>
      <c r="BY32" s="1"/>
      <c r="BZ32" s="1"/>
    </row>
    <row r="33" spans="4:78">
      <c r="D33" s="3">
        <v>41722</v>
      </c>
      <c r="E33" s="11">
        <f t="shared" si="4"/>
        <v>914187.79999999993</v>
      </c>
      <c r="F33" s="4">
        <f t="shared" si="5"/>
        <v>692703.17</v>
      </c>
      <c r="G33" s="4">
        <f t="shared" si="6"/>
        <v>0.75772523982490259</v>
      </c>
      <c r="H33" s="4">
        <f t="shared" si="0"/>
        <v>0</v>
      </c>
      <c r="I33" s="4">
        <f t="shared" si="1"/>
        <v>0</v>
      </c>
      <c r="J33" s="4">
        <f t="shared" si="7"/>
        <v>0</v>
      </c>
      <c r="K33" s="4">
        <f t="shared" si="8"/>
        <v>0</v>
      </c>
      <c r="L33" s="4">
        <f t="shared" si="9"/>
        <v>0</v>
      </c>
      <c r="M33" s="4">
        <f t="shared" si="10"/>
        <v>0</v>
      </c>
      <c r="N33" s="4">
        <f t="shared" si="11"/>
        <v>0</v>
      </c>
      <c r="O33" s="4">
        <f t="shared" si="12"/>
        <v>0</v>
      </c>
      <c r="P33" s="4">
        <f t="shared" si="2"/>
        <v>692703.17</v>
      </c>
      <c r="Q33" s="4">
        <f t="shared" si="3"/>
        <v>0.75772523982490259</v>
      </c>
      <c r="R33" s="4">
        <v>27</v>
      </c>
      <c r="S33" s="4">
        <f t="shared" si="15"/>
        <v>686010.30071561399</v>
      </c>
      <c r="T33" s="4">
        <f t="shared" si="17"/>
        <v>0.75040413000000006</v>
      </c>
      <c r="U33" s="11">
        <f t="shared" si="13"/>
        <v>221484.62999999989</v>
      </c>
      <c r="V33" s="11">
        <f t="shared" si="14"/>
        <v>0.24227476017509739</v>
      </c>
      <c r="X33" s="3">
        <v>41722</v>
      </c>
      <c r="Z33">
        <v>38721.269999999997</v>
      </c>
      <c r="AB33">
        <v>38721.269999999997</v>
      </c>
      <c r="AE33">
        <v>38721.269999999997</v>
      </c>
      <c r="AG33">
        <v>239602.87</v>
      </c>
      <c r="AI33">
        <v>239602.87</v>
      </c>
      <c r="AK33">
        <v>259039.64</v>
      </c>
      <c r="AM33">
        <v>259039.64</v>
      </c>
      <c r="AO33">
        <v>118840.01</v>
      </c>
      <c r="AQ33">
        <v>118840.01</v>
      </c>
      <c r="AS33">
        <v>3967.51</v>
      </c>
      <c r="AT33">
        <v>3967.51</v>
      </c>
      <c r="AV33">
        <v>71253.14</v>
      </c>
      <c r="AX33">
        <v>71253.14</v>
      </c>
      <c r="BB33">
        <v>692703.17</v>
      </c>
      <c r="BD33">
        <v>27629.52</v>
      </c>
      <c r="BF33">
        <v>27629.52</v>
      </c>
      <c r="BI33">
        <v>27629.52</v>
      </c>
      <c r="BX33">
        <v>914187.79999999993</v>
      </c>
      <c r="BY33" s="1"/>
      <c r="BZ33" s="1"/>
    </row>
    <row r="34" spans="4:78">
      <c r="D34" s="3">
        <v>41729</v>
      </c>
      <c r="E34" s="11">
        <f t="shared" si="4"/>
        <v>800712.13</v>
      </c>
      <c r="F34" s="4">
        <f t="shared" si="5"/>
        <v>602094.02</v>
      </c>
      <c r="G34" s="4">
        <f t="shared" si="6"/>
        <v>0.75194816893806771</v>
      </c>
      <c r="H34" s="4">
        <f t="shared" si="0"/>
        <v>0</v>
      </c>
      <c r="I34" s="4">
        <f t="shared" si="1"/>
        <v>0</v>
      </c>
      <c r="J34" s="4">
        <f t="shared" si="7"/>
        <v>0</v>
      </c>
      <c r="K34" s="4">
        <f t="shared" si="8"/>
        <v>0</v>
      </c>
      <c r="L34" s="4">
        <f t="shared" si="9"/>
        <v>0</v>
      </c>
      <c r="M34" s="4">
        <f t="shared" si="10"/>
        <v>0</v>
      </c>
      <c r="N34" s="4">
        <f t="shared" si="11"/>
        <v>0</v>
      </c>
      <c r="O34" s="4">
        <f t="shared" si="12"/>
        <v>0</v>
      </c>
      <c r="P34" s="4">
        <f t="shared" si="2"/>
        <v>602094.02</v>
      </c>
      <c r="Q34" s="4">
        <f t="shared" si="3"/>
        <v>0.75194816893806771</v>
      </c>
      <c r="R34" s="4">
        <v>28</v>
      </c>
      <c r="S34" s="4">
        <f t="shared" si="15"/>
        <v>601063.62444581161</v>
      </c>
      <c r="T34" s="4">
        <f t="shared" si="17"/>
        <v>0.75066131999999997</v>
      </c>
      <c r="U34" s="11">
        <f t="shared" si="13"/>
        <v>198618.11</v>
      </c>
      <c r="V34" s="11">
        <f t="shared" si="14"/>
        <v>0.24805183106193232</v>
      </c>
      <c r="X34" s="3">
        <v>41729</v>
      </c>
      <c r="Z34">
        <v>32213.22</v>
      </c>
      <c r="AB34">
        <v>32213.22</v>
      </c>
      <c r="AE34">
        <v>32213.22</v>
      </c>
      <c r="AG34">
        <v>176175.09</v>
      </c>
      <c r="AI34">
        <v>176175.09</v>
      </c>
      <c r="AK34">
        <v>232215.33</v>
      </c>
      <c r="AM34">
        <v>232215.33</v>
      </c>
      <c r="AO34">
        <v>121447.83</v>
      </c>
      <c r="AQ34">
        <v>121447.83</v>
      </c>
      <c r="AS34">
        <v>1677.46</v>
      </c>
      <c r="AT34">
        <v>1677.46</v>
      </c>
      <c r="AV34">
        <v>70578.31</v>
      </c>
      <c r="AX34">
        <v>70578.31</v>
      </c>
      <c r="BB34">
        <v>602094.02</v>
      </c>
      <c r="BD34">
        <v>22852.28</v>
      </c>
      <c r="BF34">
        <v>22852.28</v>
      </c>
      <c r="BI34">
        <v>22852.28</v>
      </c>
      <c r="BX34">
        <v>800712.13</v>
      </c>
      <c r="BY34" s="1"/>
      <c r="BZ34" s="1"/>
    </row>
    <row r="35" spans="4:78">
      <c r="D35" s="3">
        <v>41736</v>
      </c>
      <c r="E35" s="11">
        <f t="shared" si="4"/>
        <v>825219.46</v>
      </c>
      <c r="F35" s="4">
        <f t="shared" si="5"/>
        <v>621319.56999999995</v>
      </c>
      <c r="G35" s="4">
        <f t="shared" si="6"/>
        <v>0.75291434596077023</v>
      </c>
      <c r="H35" s="4">
        <f t="shared" si="0"/>
        <v>0</v>
      </c>
      <c r="I35" s="4">
        <f t="shared" si="1"/>
        <v>0</v>
      </c>
      <c r="J35" s="4">
        <f t="shared" si="7"/>
        <v>0</v>
      </c>
      <c r="K35" s="4">
        <f t="shared" si="8"/>
        <v>0</v>
      </c>
      <c r="L35" s="4">
        <f t="shared" si="9"/>
        <v>0</v>
      </c>
      <c r="M35" s="4">
        <f t="shared" si="10"/>
        <v>0</v>
      </c>
      <c r="N35" s="4">
        <f t="shared" si="11"/>
        <v>0</v>
      </c>
      <c r="O35" s="4">
        <f t="shared" si="12"/>
        <v>0</v>
      </c>
      <c r="P35" s="4">
        <f t="shared" si="2"/>
        <v>621319.56999999995</v>
      </c>
      <c r="Q35" s="4">
        <f t="shared" si="3"/>
        <v>0.75291434596077023</v>
      </c>
      <c r="R35" s="4">
        <v>29</v>
      </c>
      <c r="S35" s="4">
        <f t="shared" si="15"/>
        <v>619672.5673262045</v>
      </c>
      <c r="T35" s="4">
        <f t="shared" si="17"/>
        <v>0.75091850999999998</v>
      </c>
      <c r="U35" s="11">
        <f t="shared" si="13"/>
        <v>203899.89</v>
      </c>
      <c r="V35" s="11">
        <f t="shared" si="14"/>
        <v>0.24708565403922977</v>
      </c>
      <c r="X35" s="3">
        <v>41736</v>
      </c>
      <c r="Z35">
        <v>33324.400000000001</v>
      </c>
      <c r="AB35">
        <v>33324.400000000001</v>
      </c>
      <c r="AE35">
        <v>33324.400000000001</v>
      </c>
      <c r="AG35">
        <v>175468.3</v>
      </c>
      <c r="AI35">
        <v>175468.3</v>
      </c>
      <c r="AK35">
        <v>236640.83</v>
      </c>
      <c r="AM35">
        <v>236640.83</v>
      </c>
      <c r="AO35">
        <v>131972.59</v>
      </c>
      <c r="AQ35">
        <v>131972.59</v>
      </c>
      <c r="AS35">
        <v>218.38</v>
      </c>
      <c r="AT35">
        <v>218.38</v>
      </c>
      <c r="AV35">
        <v>77019.47</v>
      </c>
      <c r="AX35">
        <v>77019.47</v>
      </c>
      <c r="BB35">
        <v>621319.56999999995</v>
      </c>
      <c r="BD35">
        <v>23865.58</v>
      </c>
      <c r="BF35">
        <v>23865.58</v>
      </c>
      <c r="BI35">
        <v>23865.58</v>
      </c>
      <c r="BX35">
        <v>825219.46</v>
      </c>
      <c r="BY35" s="1"/>
      <c r="BZ35" s="1"/>
    </row>
    <row r="36" spans="4:78">
      <c r="D36" s="3">
        <v>41743</v>
      </c>
      <c r="E36" s="11">
        <f t="shared" si="4"/>
        <v>847357.99</v>
      </c>
      <c r="F36" s="4">
        <f t="shared" si="5"/>
        <v>637019.81999999995</v>
      </c>
      <c r="G36" s="4">
        <f t="shared" si="6"/>
        <v>0.75177177476074775</v>
      </c>
      <c r="H36" s="4">
        <f t="shared" si="0"/>
        <v>0</v>
      </c>
      <c r="I36" s="4">
        <f t="shared" si="1"/>
        <v>0</v>
      </c>
      <c r="J36" s="4">
        <f t="shared" si="7"/>
        <v>0</v>
      </c>
      <c r="K36" s="4">
        <f t="shared" si="8"/>
        <v>0</v>
      </c>
      <c r="L36" s="4">
        <f t="shared" si="9"/>
        <v>0</v>
      </c>
      <c r="M36" s="4">
        <f t="shared" si="10"/>
        <v>0</v>
      </c>
      <c r="N36" s="4">
        <f t="shared" si="11"/>
        <v>0</v>
      </c>
      <c r="O36" s="4">
        <f t="shared" si="12"/>
        <v>0</v>
      </c>
      <c r="P36" s="4">
        <f t="shared" ref="P36:P67" si="18">SUM(F36,N36)</f>
        <v>637019.81999999995</v>
      </c>
      <c r="Q36" s="4">
        <f t="shared" ref="Q36:Q67" si="19">P36/E36</f>
        <v>0.75177177476074775</v>
      </c>
      <c r="R36" s="4">
        <v>30</v>
      </c>
      <c r="S36" s="4">
        <f t="shared" si="15"/>
        <v>636514.73128884297</v>
      </c>
      <c r="T36" s="4">
        <f t="shared" si="17"/>
        <v>0.7511757</v>
      </c>
      <c r="U36" s="11">
        <f t="shared" si="13"/>
        <v>210338.17000000004</v>
      </c>
      <c r="V36" s="11">
        <f t="shared" si="14"/>
        <v>0.24822822523925223</v>
      </c>
      <c r="X36" s="3">
        <v>41743</v>
      </c>
      <c r="Z36">
        <v>34470.06</v>
      </c>
      <c r="AB36">
        <v>34470.06</v>
      </c>
      <c r="AE36">
        <v>34470.06</v>
      </c>
      <c r="AG36">
        <v>185531.43</v>
      </c>
      <c r="AI36">
        <v>185531.43</v>
      </c>
      <c r="AK36">
        <v>236259.08</v>
      </c>
      <c r="AM36">
        <v>236259.08</v>
      </c>
      <c r="AO36">
        <v>136687.97</v>
      </c>
      <c r="AQ36">
        <v>136687.97</v>
      </c>
      <c r="AV36">
        <v>78541.34</v>
      </c>
      <c r="AX36">
        <v>78541.34</v>
      </c>
      <c r="BB36">
        <v>637019.81999999995</v>
      </c>
      <c r="BD36">
        <v>24583.19</v>
      </c>
      <c r="BF36">
        <v>24583.19</v>
      </c>
      <c r="BI36">
        <v>24583.19</v>
      </c>
      <c r="BX36">
        <v>847357.99</v>
      </c>
      <c r="BY36" s="1"/>
      <c r="BZ36" s="1"/>
    </row>
    <row r="37" spans="4:78">
      <c r="D37" s="3">
        <v>41750</v>
      </c>
      <c r="E37" s="11">
        <f t="shared" si="4"/>
        <v>862784.26000000013</v>
      </c>
      <c r="F37" s="4">
        <f t="shared" si="5"/>
        <v>646427.99</v>
      </c>
      <c r="G37" s="4">
        <f t="shared" si="6"/>
        <v>0.74923479712066132</v>
      </c>
      <c r="H37" s="4">
        <f t="shared" si="0"/>
        <v>0</v>
      </c>
      <c r="I37" s="4">
        <f t="shared" si="1"/>
        <v>0</v>
      </c>
      <c r="J37" s="4">
        <f t="shared" si="7"/>
        <v>0</v>
      </c>
      <c r="K37" s="4">
        <f t="shared" si="8"/>
        <v>0</v>
      </c>
      <c r="L37" s="4">
        <f t="shared" si="9"/>
        <v>0</v>
      </c>
      <c r="M37" s="4">
        <f t="shared" si="10"/>
        <v>0</v>
      </c>
      <c r="N37" s="4">
        <f t="shared" si="11"/>
        <v>0</v>
      </c>
      <c r="O37" s="4">
        <f t="shared" si="12"/>
        <v>0</v>
      </c>
      <c r="P37" s="4">
        <f t="shared" si="18"/>
        <v>646427.99</v>
      </c>
      <c r="Q37" s="4">
        <f t="shared" si="19"/>
        <v>0.74923479712066132</v>
      </c>
      <c r="R37" s="4">
        <v>31</v>
      </c>
      <c r="S37" s="4">
        <f t="shared" si="15"/>
        <v>648324.46993831149</v>
      </c>
      <c r="T37" s="4">
        <f t="shared" si="17"/>
        <v>0.75143289000000002</v>
      </c>
      <c r="U37" s="11">
        <f t="shared" si="13"/>
        <v>216356.27000000014</v>
      </c>
      <c r="V37" s="11">
        <f t="shared" si="14"/>
        <v>0.25076520287933868</v>
      </c>
      <c r="X37" s="3">
        <v>41750</v>
      </c>
      <c r="Z37">
        <v>35496.22</v>
      </c>
      <c r="AB37">
        <v>35496.22</v>
      </c>
      <c r="AE37">
        <v>35496.22</v>
      </c>
      <c r="AG37">
        <v>196856.06</v>
      </c>
      <c r="AI37">
        <v>196856.06</v>
      </c>
      <c r="AK37">
        <v>235539.14</v>
      </c>
      <c r="AM37">
        <v>235539.14</v>
      </c>
      <c r="AO37">
        <v>137294.17000000001</v>
      </c>
      <c r="AQ37">
        <v>137294.17000000001</v>
      </c>
      <c r="AV37">
        <v>76738.62</v>
      </c>
      <c r="AX37">
        <v>76738.62</v>
      </c>
      <c r="BB37">
        <v>646427.99</v>
      </c>
      <c r="BD37">
        <v>25381.25</v>
      </c>
      <c r="BF37">
        <v>25381.25</v>
      </c>
      <c r="BI37">
        <v>25381.25</v>
      </c>
      <c r="BX37">
        <v>862784.26000000013</v>
      </c>
      <c r="BY37" s="1"/>
      <c r="BZ37" s="1"/>
    </row>
    <row r="38" spans="4:78">
      <c r="D38" s="3">
        <v>41757</v>
      </c>
      <c r="E38" s="11">
        <f t="shared" si="4"/>
        <v>884893.74</v>
      </c>
      <c r="F38" s="4">
        <f t="shared" si="5"/>
        <v>665698.42000000004</v>
      </c>
      <c r="G38" s="4">
        <f t="shared" si="6"/>
        <v>0.75229193055428334</v>
      </c>
      <c r="H38" s="4">
        <f t="shared" si="0"/>
        <v>0</v>
      </c>
      <c r="I38" s="4">
        <f t="shared" si="1"/>
        <v>0</v>
      </c>
      <c r="J38" s="4">
        <f t="shared" si="7"/>
        <v>0</v>
      </c>
      <c r="K38" s="4">
        <f t="shared" si="8"/>
        <v>0</v>
      </c>
      <c r="L38" s="4">
        <f t="shared" si="9"/>
        <v>0</v>
      </c>
      <c r="M38" s="4">
        <f t="shared" si="10"/>
        <v>0</v>
      </c>
      <c r="N38" s="4">
        <f t="shared" si="11"/>
        <v>0</v>
      </c>
      <c r="O38" s="4">
        <f t="shared" si="12"/>
        <v>0</v>
      </c>
      <c r="P38" s="4">
        <f t="shared" si="18"/>
        <v>665698.42000000004</v>
      </c>
      <c r="Q38" s="4">
        <f t="shared" si="19"/>
        <v>0.75229193055428334</v>
      </c>
      <c r="R38" s="4">
        <v>32</v>
      </c>
      <c r="S38" s="4">
        <f t="shared" si="15"/>
        <v>665165.84621209919</v>
      </c>
      <c r="T38" s="4">
        <f t="shared" si="17"/>
        <v>0.75169008000000004</v>
      </c>
      <c r="U38" s="11">
        <f t="shared" si="13"/>
        <v>219195.31999999995</v>
      </c>
      <c r="V38" s="11">
        <f t="shared" si="14"/>
        <v>0.24770806944571666</v>
      </c>
      <c r="X38" s="3">
        <v>41757</v>
      </c>
      <c r="Z38">
        <v>35395.699999999997</v>
      </c>
      <c r="AB38">
        <v>35395.699999999997</v>
      </c>
      <c r="AE38">
        <v>35395.699999999997</v>
      </c>
      <c r="AG38">
        <v>195697.68</v>
      </c>
      <c r="AI38">
        <v>195697.68</v>
      </c>
      <c r="AK38">
        <v>263403.15999999997</v>
      </c>
      <c r="AM38">
        <v>263403.15999999997</v>
      </c>
      <c r="AO38">
        <v>133125.17000000001</v>
      </c>
      <c r="AQ38">
        <v>133125.17000000001</v>
      </c>
      <c r="AV38">
        <v>73472.490000000005</v>
      </c>
      <c r="AX38">
        <v>73472.490000000005</v>
      </c>
      <c r="AZ38">
        <v>-0.08</v>
      </c>
      <c r="BA38">
        <v>-0.08</v>
      </c>
      <c r="BB38">
        <v>665698.42000000004</v>
      </c>
      <c r="BD38">
        <v>25481.03</v>
      </c>
      <c r="BF38">
        <v>25481.03</v>
      </c>
      <c r="BI38">
        <v>25481.03</v>
      </c>
      <c r="BX38">
        <v>884893.74</v>
      </c>
      <c r="BY38" s="1"/>
      <c r="BZ38" s="1"/>
    </row>
    <row r="39" spans="4:78">
      <c r="D39" s="3">
        <v>41764</v>
      </c>
      <c r="E39" s="11">
        <f t="shared" si="4"/>
        <v>949890.78</v>
      </c>
      <c r="F39" s="4">
        <f t="shared" si="5"/>
        <v>721723.83</v>
      </c>
      <c r="G39" s="4">
        <f t="shared" si="6"/>
        <v>0.7597966473577098</v>
      </c>
      <c r="H39" s="4">
        <f t="shared" si="0"/>
        <v>0</v>
      </c>
      <c r="I39" s="4">
        <f t="shared" si="1"/>
        <v>0</v>
      </c>
      <c r="J39" s="4">
        <f t="shared" si="7"/>
        <v>0</v>
      </c>
      <c r="K39" s="4">
        <f t="shared" si="8"/>
        <v>0</v>
      </c>
      <c r="L39" s="4">
        <f t="shared" si="9"/>
        <v>0</v>
      </c>
      <c r="M39" s="4">
        <f t="shared" si="10"/>
        <v>0</v>
      </c>
      <c r="N39" s="4">
        <f t="shared" si="11"/>
        <v>0</v>
      </c>
      <c r="O39" s="4">
        <f t="shared" si="12"/>
        <v>0</v>
      </c>
      <c r="P39" s="4">
        <f t="shared" si="18"/>
        <v>721723.83</v>
      </c>
      <c r="Q39" s="4">
        <f t="shared" si="19"/>
        <v>0.7597966473577098</v>
      </c>
      <c r="R39" s="4">
        <v>33</v>
      </c>
      <c r="S39" s="4">
        <f t="shared" ref="S39:S70" si="20">E39*T39</f>
        <v>714267.77881917066</v>
      </c>
      <c r="T39" s="4">
        <f t="shared" si="17"/>
        <v>0.75194727000000006</v>
      </c>
      <c r="U39" s="11">
        <f t="shared" si="13"/>
        <v>228166.95000000007</v>
      </c>
      <c r="V39" s="11">
        <f t="shared" si="14"/>
        <v>0.24020335264229017</v>
      </c>
      <c r="X39" s="3">
        <v>41764</v>
      </c>
      <c r="Z39">
        <v>35494.81</v>
      </c>
      <c r="AB39">
        <v>35494.81</v>
      </c>
      <c r="AE39">
        <v>35494.81</v>
      </c>
      <c r="AG39">
        <v>191536.08</v>
      </c>
      <c r="AI39">
        <v>191536.08</v>
      </c>
      <c r="AK39">
        <v>318606.78000000003</v>
      </c>
      <c r="AM39">
        <v>318606.78000000003</v>
      </c>
      <c r="AO39">
        <v>135961.29999999999</v>
      </c>
      <c r="AQ39">
        <v>135961.29999999999</v>
      </c>
      <c r="AV39">
        <v>75619.67</v>
      </c>
      <c r="AX39">
        <v>75619.67</v>
      </c>
      <c r="BB39">
        <v>721723.83</v>
      </c>
      <c r="BD39">
        <v>25196.400000000001</v>
      </c>
      <c r="BF39">
        <v>25196.400000000001</v>
      </c>
      <c r="BI39">
        <v>25196.400000000001</v>
      </c>
      <c r="BX39">
        <v>949890.78</v>
      </c>
      <c r="BY39" s="1"/>
      <c r="BZ39" s="1"/>
    </row>
    <row r="40" spans="4:78">
      <c r="D40" s="3">
        <v>41771</v>
      </c>
      <c r="E40" s="11">
        <f t="shared" si="4"/>
        <v>919575.01</v>
      </c>
      <c r="F40" s="4">
        <f t="shared" si="5"/>
        <v>694634.04</v>
      </c>
      <c r="G40" s="4">
        <f t="shared" si="6"/>
        <v>0.75538594725404729</v>
      </c>
      <c r="H40" s="4">
        <f t="shared" si="0"/>
        <v>0</v>
      </c>
      <c r="I40" s="4">
        <f t="shared" si="1"/>
        <v>0</v>
      </c>
      <c r="J40" s="4">
        <f t="shared" si="7"/>
        <v>0</v>
      </c>
      <c r="K40" s="4">
        <f t="shared" si="8"/>
        <v>0</v>
      </c>
      <c r="L40" s="4">
        <f t="shared" si="9"/>
        <v>0</v>
      </c>
      <c r="M40" s="4">
        <f t="shared" si="10"/>
        <v>0</v>
      </c>
      <c r="N40" s="4">
        <f t="shared" si="11"/>
        <v>0</v>
      </c>
      <c r="O40" s="4">
        <f t="shared" si="12"/>
        <v>0</v>
      </c>
      <c r="P40" s="4">
        <f t="shared" si="18"/>
        <v>694634.04</v>
      </c>
      <c r="Q40" s="4">
        <f t="shared" si="19"/>
        <v>0.75538594725404729</v>
      </c>
      <c r="R40" s="4">
        <v>34</v>
      </c>
      <c r="S40" s="4">
        <f t="shared" si="20"/>
        <v>691708.42382654455</v>
      </c>
      <c r="T40" s="4">
        <f t="shared" si="17"/>
        <v>0.75220445999999996</v>
      </c>
      <c r="U40" s="11">
        <f t="shared" si="13"/>
        <v>224940.96999999997</v>
      </c>
      <c r="V40" s="11">
        <f t="shared" si="14"/>
        <v>0.24461405274595269</v>
      </c>
      <c r="X40" s="3">
        <v>41771</v>
      </c>
      <c r="Z40">
        <v>35778.879999999997</v>
      </c>
      <c r="AB40">
        <v>35778.879999999997</v>
      </c>
      <c r="AE40">
        <v>35778.879999999997</v>
      </c>
      <c r="AG40">
        <v>195702.77</v>
      </c>
      <c r="AI40">
        <v>195702.77</v>
      </c>
      <c r="AK40">
        <v>281050.87</v>
      </c>
      <c r="AM40">
        <v>281050.87</v>
      </c>
      <c r="AO40">
        <v>140337.60999999999</v>
      </c>
      <c r="AQ40">
        <v>140337.60999999999</v>
      </c>
      <c r="AV40">
        <v>77542.789999999994</v>
      </c>
      <c r="AX40">
        <v>77542.789999999994</v>
      </c>
      <c r="BB40">
        <v>694634.04</v>
      </c>
      <c r="BD40">
        <v>25496.17</v>
      </c>
      <c r="BF40">
        <v>25496.17</v>
      </c>
      <c r="BI40">
        <v>25496.17</v>
      </c>
      <c r="BX40">
        <v>919575.01</v>
      </c>
      <c r="BY40" s="1"/>
      <c r="BZ40" s="1"/>
    </row>
    <row r="41" spans="4:78">
      <c r="D41" s="3">
        <v>41778</v>
      </c>
      <c r="E41" s="11">
        <f t="shared" si="4"/>
        <v>1027478.67</v>
      </c>
      <c r="F41" s="4">
        <f t="shared" si="5"/>
        <v>768493.04</v>
      </c>
      <c r="G41" s="4">
        <f t="shared" si="6"/>
        <v>0.74794062634896352</v>
      </c>
      <c r="H41" s="4">
        <f t="shared" si="0"/>
        <v>0</v>
      </c>
      <c r="I41" s="4">
        <f t="shared" si="1"/>
        <v>0</v>
      </c>
      <c r="J41" s="4">
        <f t="shared" si="7"/>
        <v>0</v>
      </c>
      <c r="K41" s="4">
        <f t="shared" si="8"/>
        <v>0</v>
      </c>
      <c r="L41" s="4">
        <f t="shared" si="9"/>
        <v>0</v>
      </c>
      <c r="M41" s="4">
        <f t="shared" si="10"/>
        <v>0</v>
      </c>
      <c r="N41" s="4">
        <f t="shared" si="11"/>
        <v>0</v>
      </c>
      <c r="O41" s="4">
        <f t="shared" si="12"/>
        <v>0</v>
      </c>
      <c r="P41" s="4">
        <f t="shared" si="18"/>
        <v>768493.04</v>
      </c>
      <c r="Q41" s="4">
        <f t="shared" si="19"/>
        <v>0.74794062634896352</v>
      </c>
      <c r="R41" s="4">
        <v>35</v>
      </c>
      <c r="S41" s="4">
        <f t="shared" si="20"/>
        <v>773138.29536800552</v>
      </c>
      <c r="T41" s="4">
        <f t="shared" ref="T41:T72" si="21">$B$9+$B$10*R41</f>
        <v>0.75246164999999998</v>
      </c>
      <c r="U41" s="11">
        <f t="shared" si="13"/>
        <v>258985.63</v>
      </c>
      <c r="V41" s="11">
        <f t="shared" si="14"/>
        <v>0.25205937365103648</v>
      </c>
      <c r="X41" s="3">
        <v>41778</v>
      </c>
      <c r="Z41">
        <v>41415.83</v>
      </c>
      <c r="AB41">
        <v>41415.83</v>
      </c>
      <c r="AE41">
        <v>41415.83</v>
      </c>
      <c r="AG41">
        <v>233322.31</v>
      </c>
      <c r="AI41">
        <v>233322.31</v>
      </c>
      <c r="AK41">
        <v>301484.5</v>
      </c>
      <c r="AM41">
        <v>301484.5</v>
      </c>
      <c r="AO41">
        <v>146797.34</v>
      </c>
      <c r="AQ41">
        <v>146797.34</v>
      </c>
      <c r="AV41">
        <v>86888.89</v>
      </c>
      <c r="AX41">
        <v>86888.89</v>
      </c>
      <c r="BB41">
        <v>768493.04</v>
      </c>
      <c r="BD41">
        <v>29929.96</v>
      </c>
      <c r="BF41">
        <v>29929.96</v>
      </c>
      <c r="BI41">
        <v>29929.96</v>
      </c>
      <c r="BX41">
        <v>1027478.67</v>
      </c>
      <c r="BY41" s="1"/>
      <c r="BZ41" s="1"/>
    </row>
    <row r="42" spans="4:78">
      <c r="D42" s="3">
        <v>41785</v>
      </c>
      <c r="E42" s="11">
        <f t="shared" si="4"/>
        <v>787246.23999999987</v>
      </c>
      <c r="F42" s="4">
        <f t="shared" si="5"/>
        <v>589945.03</v>
      </c>
      <c r="G42" s="4">
        <f t="shared" si="6"/>
        <v>0.74937802179912616</v>
      </c>
      <c r="H42" s="4">
        <f t="shared" si="0"/>
        <v>0</v>
      </c>
      <c r="I42" s="4">
        <f t="shared" si="1"/>
        <v>0</v>
      </c>
      <c r="J42" s="4">
        <f t="shared" si="7"/>
        <v>0</v>
      </c>
      <c r="K42" s="4">
        <f t="shared" si="8"/>
        <v>0</v>
      </c>
      <c r="L42" s="4">
        <f t="shared" si="9"/>
        <v>0</v>
      </c>
      <c r="M42" s="4">
        <f t="shared" si="10"/>
        <v>0</v>
      </c>
      <c r="N42" s="4">
        <f t="shared" si="11"/>
        <v>0</v>
      </c>
      <c r="O42" s="4">
        <f t="shared" si="12"/>
        <v>0</v>
      </c>
      <c r="P42" s="4">
        <f t="shared" si="18"/>
        <v>589945.03</v>
      </c>
      <c r="Q42" s="4">
        <f t="shared" si="19"/>
        <v>0.74937802179912616</v>
      </c>
      <c r="R42" s="4">
        <v>36</v>
      </c>
      <c r="S42" s="4">
        <f t="shared" si="20"/>
        <v>592575.07656716148</v>
      </c>
      <c r="T42" s="4">
        <f t="shared" si="21"/>
        <v>0.75271884</v>
      </c>
      <c r="U42" s="11">
        <f t="shared" si="13"/>
        <v>197301.20999999985</v>
      </c>
      <c r="V42" s="11">
        <f t="shared" si="14"/>
        <v>0.25062197820087384</v>
      </c>
      <c r="X42" s="3">
        <v>41785</v>
      </c>
      <c r="Z42">
        <v>32350.73</v>
      </c>
      <c r="AB42">
        <v>32350.73</v>
      </c>
      <c r="AE42">
        <v>32350.73</v>
      </c>
      <c r="AG42">
        <v>178409.95</v>
      </c>
      <c r="AI42">
        <v>178409.95</v>
      </c>
      <c r="AK42">
        <v>233741.75</v>
      </c>
      <c r="AM42">
        <v>233741.75</v>
      </c>
      <c r="AO42">
        <v>111518.02</v>
      </c>
      <c r="AQ42">
        <v>111518.02</v>
      </c>
      <c r="AV42">
        <v>66275.31</v>
      </c>
      <c r="AX42">
        <v>66275.31</v>
      </c>
      <c r="BB42">
        <v>589945.03</v>
      </c>
      <c r="BD42">
        <v>22949.97</v>
      </c>
      <c r="BF42">
        <v>22949.97</v>
      </c>
      <c r="BI42">
        <v>22949.97</v>
      </c>
      <c r="BX42">
        <v>787246.23999999987</v>
      </c>
      <c r="BY42" s="1"/>
      <c r="BZ42" s="1"/>
    </row>
    <row r="43" spans="4:78">
      <c r="D43" s="3">
        <v>41792</v>
      </c>
      <c r="E43" s="11">
        <f t="shared" si="4"/>
        <v>892609.04999999993</v>
      </c>
      <c r="F43" s="4">
        <f t="shared" si="5"/>
        <v>663276.73</v>
      </c>
      <c r="G43" s="4">
        <f t="shared" si="6"/>
        <v>0.74307641178408401</v>
      </c>
      <c r="H43" s="4">
        <f t="shared" si="0"/>
        <v>0</v>
      </c>
      <c r="I43" s="4">
        <f t="shared" si="1"/>
        <v>0</v>
      </c>
      <c r="J43" s="4">
        <f t="shared" si="7"/>
        <v>0</v>
      </c>
      <c r="K43" s="4">
        <f t="shared" si="8"/>
        <v>0</v>
      </c>
      <c r="L43" s="4">
        <f t="shared" si="9"/>
        <v>0</v>
      </c>
      <c r="M43" s="4">
        <f t="shared" si="10"/>
        <v>0</v>
      </c>
      <c r="N43" s="4">
        <f t="shared" si="11"/>
        <v>0</v>
      </c>
      <c r="O43" s="4">
        <f t="shared" si="12"/>
        <v>0</v>
      </c>
      <c r="P43" s="4">
        <f t="shared" si="18"/>
        <v>663276.73</v>
      </c>
      <c r="Q43" s="4">
        <f t="shared" si="19"/>
        <v>0.74307641178408401</v>
      </c>
      <c r="R43" s="4">
        <v>37</v>
      </c>
      <c r="S43" s="4">
        <f t="shared" si="20"/>
        <v>672113.21881107148</v>
      </c>
      <c r="T43" s="4">
        <f t="shared" si="21"/>
        <v>0.75297603000000002</v>
      </c>
      <c r="U43" s="11">
        <f t="shared" si="13"/>
        <v>229332.31999999995</v>
      </c>
      <c r="V43" s="11">
        <f t="shared" si="14"/>
        <v>0.25692358821591599</v>
      </c>
      <c r="X43" s="3">
        <v>41792</v>
      </c>
      <c r="Z43">
        <v>37632.339999999997</v>
      </c>
      <c r="AB43">
        <v>37632.339999999997</v>
      </c>
      <c r="AE43">
        <v>37632.339999999997</v>
      </c>
      <c r="AG43">
        <v>210552.97</v>
      </c>
      <c r="AI43">
        <v>210552.97</v>
      </c>
      <c r="AK43">
        <v>253638.31</v>
      </c>
      <c r="AM43">
        <v>253638.31</v>
      </c>
      <c r="AO43">
        <v>124059.46</v>
      </c>
      <c r="AQ43">
        <v>124059.46</v>
      </c>
      <c r="AV43">
        <v>75025.990000000005</v>
      </c>
      <c r="AX43">
        <v>75025.990000000005</v>
      </c>
      <c r="BB43">
        <v>663276.73</v>
      </c>
      <c r="BD43">
        <v>26893.77</v>
      </c>
      <c r="BF43">
        <v>26893.77</v>
      </c>
      <c r="BI43">
        <v>26893.77</v>
      </c>
      <c r="BX43">
        <v>892609.04999999993</v>
      </c>
      <c r="BY43" s="1"/>
      <c r="BZ43" s="1"/>
    </row>
    <row r="44" spans="4:78">
      <c r="D44" s="3">
        <v>41799</v>
      </c>
      <c r="E44" s="11">
        <f t="shared" si="4"/>
        <v>909401.10000000009</v>
      </c>
      <c r="F44" s="4">
        <f t="shared" si="5"/>
        <v>681421.22000000009</v>
      </c>
      <c r="G44" s="4">
        <f t="shared" si="6"/>
        <v>0.74930767072967031</v>
      </c>
      <c r="H44" s="4">
        <f t="shared" si="0"/>
        <v>0</v>
      </c>
      <c r="I44" s="4">
        <f t="shared" si="1"/>
        <v>0</v>
      </c>
      <c r="J44" s="4">
        <f t="shared" si="7"/>
        <v>0</v>
      </c>
      <c r="K44" s="4">
        <f t="shared" si="8"/>
        <v>0</v>
      </c>
      <c r="L44" s="4">
        <f t="shared" si="9"/>
        <v>0</v>
      </c>
      <c r="M44" s="4">
        <f t="shared" si="10"/>
        <v>0</v>
      </c>
      <c r="N44" s="4">
        <f t="shared" si="11"/>
        <v>0</v>
      </c>
      <c r="O44" s="4">
        <f t="shared" si="12"/>
        <v>0</v>
      </c>
      <c r="P44" s="4">
        <f t="shared" si="18"/>
        <v>681421.22000000009</v>
      </c>
      <c r="Q44" s="4">
        <f t="shared" si="19"/>
        <v>0.74930767072967031</v>
      </c>
      <c r="R44" s="4">
        <v>38</v>
      </c>
      <c r="S44" s="4">
        <f t="shared" si="20"/>
        <v>684991.11882454215</v>
      </c>
      <c r="T44" s="4">
        <f t="shared" si="21"/>
        <v>0.75323322000000004</v>
      </c>
      <c r="U44" s="11">
        <f t="shared" si="13"/>
        <v>227979.88</v>
      </c>
      <c r="V44" s="11">
        <f t="shared" si="14"/>
        <v>0.25069232927032964</v>
      </c>
      <c r="X44" s="3">
        <v>41799</v>
      </c>
      <c r="Z44">
        <v>37451.410000000003</v>
      </c>
      <c r="AB44">
        <v>37451.410000000003</v>
      </c>
      <c r="AE44">
        <v>37451.410000000003</v>
      </c>
      <c r="AG44">
        <v>213498.53</v>
      </c>
      <c r="AI44">
        <v>213498.53</v>
      </c>
      <c r="AK44">
        <v>265401.26</v>
      </c>
      <c r="AM44">
        <v>265401.26</v>
      </c>
      <c r="AO44">
        <v>126452.78</v>
      </c>
      <c r="AQ44">
        <v>126452.78</v>
      </c>
      <c r="AV44">
        <v>76068.649999999994</v>
      </c>
      <c r="AX44">
        <v>76068.649999999994</v>
      </c>
      <c r="BB44">
        <v>681421.22000000009</v>
      </c>
      <c r="BD44">
        <v>26605.3</v>
      </c>
      <c r="BF44">
        <v>26605.3</v>
      </c>
      <c r="BI44">
        <v>26605.3</v>
      </c>
      <c r="BX44">
        <v>909401.10000000009</v>
      </c>
      <c r="BY44" s="1"/>
      <c r="BZ44" s="1"/>
    </row>
    <row r="45" spans="4:78">
      <c r="D45" s="3">
        <v>41806</v>
      </c>
      <c r="E45" s="11">
        <f t="shared" si="4"/>
        <v>927773.09000000008</v>
      </c>
      <c r="F45" s="4">
        <f t="shared" si="5"/>
        <v>697302.68</v>
      </c>
      <c r="G45" s="4">
        <f t="shared" si="6"/>
        <v>0.75158752448834232</v>
      </c>
      <c r="H45" s="4">
        <f t="shared" si="0"/>
        <v>0</v>
      </c>
      <c r="I45" s="4">
        <f t="shared" si="1"/>
        <v>0</v>
      </c>
      <c r="J45" s="4">
        <f t="shared" si="7"/>
        <v>0</v>
      </c>
      <c r="K45" s="4">
        <f t="shared" si="8"/>
        <v>0</v>
      </c>
      <c r="L45" s="4">
        <f t="shared" si="9"/>
        <v>0</v>
      </c>
      <c r="M45" s="4">
        <f t="shared" si="10"/>
        <v>0</v>
      </c>
      <c r="N45" s="4">
        <f t="shared" si="11"/>
        <v>89.46</v>
      </c>
      <c r="O45" s="4">
        <f t="shared" si="12"/>
        <v>9.6424439299053159E-5</v>
      </c>
      <c r="P45" s="4">
        <f t="shared" si="18"/>
        <v>697392.14</v>
      </c>
      <c r="Q45" s="4">
        <f t="shared" si="19"/>
        <v>0.75168394892764134</v>
      </c>
      <c r="R45" s="4">
        <v>39</v>
      </c>
      <c r="S45" s="4">
        <f t="shared" si="20"/>
        <v>699068.125971067</v>
      </c>
      <c r="T45" s="4">
        <f t="shared" si="21"/>
        <v>0.75349041000000005</v>
      </c>
      <c r="U45" s="11">
        <f t="shared" si="13"/>
        <v>230380.95000000007</v>
      </c>
      <c r="V45" s="11">
        <f t="shared" si="14"/>
        <v>0.24831605107235871</v>
      </c>
      <c r="X45" s="3">
        <v>41806</v>
      </c>
      <c r="Z45">
        <v>38341.99</v>
      </c>
      <c r="AB45">
        <v>38341.99</v>
      </c>
      <c r="AE45">
        <v>38341.99</v>
      </c>
      <c r="AG45">
        <v>214122.64</v>
      </c>
      <c r="AI45">
        <v>214122.64</v>
      </c>
      <c r="AK45">
        <v>277969.19</v>
      </c>
      <c r="AM45">
        <v>277969.19</v>
      </c>
      <c r="AO45">
        <v>128091.07</v>
      </c>
      <c r="AQ45">
        <v>128091.07</v>
      </c>
      <c r="AV45">
        <v>77119.78</v>
      </c>
      <c r="AX45">
        <v>77119.78</v>
      </c>
      <c r="BB45">
        <v>697302.68</v>
      </c>
      <c r="BD45">
        <v>27062.82</v>
      </c>
      <c r="BF45">
        <v>27062.82</v>
      </c>
      <c r="BI45">
        <v>27062.82</v>
      </c>
      <c r="BL45">
        <v>89.46</v>
      </c>
      <c r="BN45">
        <v>89.46</v>
      </c>
      <c r="BO45">
        <v>89.46</v>
      </c>
      <c r="BX45">
        <v>927773.09000000008</v>
      </c>
      <c r="BY45" s="1"/>
      <c r="BZ45" s="1"/>
    </row>
    <row r="46" spans="4:78">
      <c r="D46" s="3">
        <v>41813</v>
      </c>
      <c r="E46" s="11">
        <f t="shared" si="4"/>
        <v>1075391.94</v>
      </c>
      <c r="F46" s="4">
        <f t="shared" si="5"/>
        <v>774225.60999999987</v>
      </c>
      <c r="G46" s="4">
        <f t="shared" si="6"/>
        <v>0.71994738030117644</v>
      </c>
      <c r="H46" s="4">
        <f t="shared" si="0"/>
        <v>0</v>
      </c>
      <c r="I46" s="4">
        <f t="shared" si="1"/>
        <v>0</v>
      </c>
      <c r="J46" s="4">
        <f t="shared" si="7"/>
        <v>0</v>
      </c>
      <c r="K46" s="4">
        <f t="shared" si="8"/>
        <v>0</v>
      </c>
      <c r="L46" s="4">
        <f t="shared" si="9"/>
        <v>0</v>
      </c>
      <c r="M46" s="4">
        <f t="shared" si="10"/>
        <v>0</v>
      </c>
      <c r="N46" s="4">
        <f t="shared" si="11"/>
        <v>55021.68</v>
      </c>
      <c r="O46" s="4">
        <f t="shared" si="12"/>
        <v>5.1164303872316547E-2</v>
      </c>
      <c r="P46" s="4">
        <f t="shared" si="18"/>
        <v>829247.28999999992</v>
      </c>
      <c r="Q46" s="4">
        <f t="shared" si="19"/>
        <v>0.77111168417349307</v>
      </c>
      <c r="R46" s="4">
        <v>40</v>
      </c>
      <c r="S46" s="4">
        <f t="shared" si="20"/>
        <v>810574.09383434395</v>
      </c>
      <c r="T46" s="4">
        <f t="shared" si="21"/>
        <v>0.75374759999999996</v>
      </c>
      <c r="U46" s="11">
        <f t="shared" si="13"/>
        <v>246144.65000000002</v>
      </c>
      <c r="V46" s="11">
        <f t="shared" si="14"/>
        <v>0.22888831582650698</v>
      </c>
      <c r="X46" s="3">
        <v>41813</v>
      </c>
      <c r="Z46">
        <v>39102.230000000003</v>
      </c>
      <c r="AB46">
        <v>39102.230000000003</v>
      </c>
      <c r="AE46">
        <v>39102.230000000003</v>
      </c>
      <c r="AG46">
        <v>220450.89</v>
      </c>
      <c r="AI46">
        <v>220450.89</v>
      </c>
      <c r="AK46">
        <v>330198.81</v>
      </c>
      <c r="AM46">
        <v>330198.81</v>
      </c>
      <c r="AO46">
        <v>143784.94</v>
      </c>
      <c r="AQ46">
        <v>143784.94</v>
      </c>
      <c r="AV46">
        <v>79790.97</v>
      </c>
      <c r="AX46">
        <v>79790.97</v>
      </c>
      <c r="BB46">
        <v>774225.60999999987</v>
      </c>
      <c r="BD46">
        <v>27913.19</v>
      </c>
      <c r="BF46">
        <v>27913.19</v>
      </c>
      <c r="BI46">
        <v>27913.19</v>
      </c>
      <c r="BL46">
        <v>55021.68</v>
      </c>
      <c r="BN46">
        <v>55021.68</v>
      </c>
      <c r="BO46">
        <v>55021.68</v>
      </c>
      <c r="BX46">
        <v>1075391.94</v>
      </c>
      <c r="BY46" s="1"/>
      <c r="BZ46" s="1"/>
    </row>
    <row r="47" spans="4:78">
      <c r="D47" s="3">
        <v>41820</v>
      </c>
      <c r="E47" s="11">
        <f t="shared" si="4"/>
        <v>898880.31</v>
      </c>
      <c r="F47" s="4">
        <f t="shared" si="5"/>
        <v>656577.72000000009</v>
      </c>
      <c r="G47" s="4">
        <f t="shared" si="6"/>
        <v>0.73043953983150445</v>
      </c>
      <c r="H47" s="4">
        <f t="shared" si="0"/>
        <v>0</v>
      </c>
      <c r="I47" s="4">
        <f t="shared" si="1"/>
        <v>0</v>
      </c>
      <c r="J47" s="4">
        <f t="shared" si="7"/>
        <v>0</v>
      </c>
      <c r="K47" s="4">
        <f t="shared" si="8"/>
        <v>0</v>
      </c>
      <c r="L47" s="4">
        <f t="shared" si="9"/>
        <v>0</v>
      </c>
      <c r="M47" s="4">
        <f t="shared" si="10"/>
        <v>0</v>
      </c>
      <c r="N47" s="4">
        <f t="shared" si="11"/>
        <v>20929.46</v>
      </c>
      <c r="O47" s="4">
        <f t="shared" si="12"/>
        <v>2.3283923084264687E-2</v>
      </c>
      <c r="P47" s="4">
        <f t="shared" si="18"/>
        <v>677507.18</v>
      </c>
      <c r="Q47" s="4">
        <f t="shared" si="19"/>
        <v>0.75372346291576908</v>
      </c>
      <c r="R47" s="4">
        <v>41</v>
      </c>
      <c r="S47" s="4">
        <f t="shared" si="20"/>
        <v>677760.05937668495</v>
      </c>
      <c r="T47" s="4">
        <f t="shared" si="21"/>
        <v>0.75400478999999998</v>
      </c>
      <c r="U47" s="11">
        <f t="shared" si="13"/>
        <v>221373.13</v>
      </c>
      <c r="V47" s="11">
        <f t="shared" si="14"/>
        <v>0.24627653708423092</v>
      </c>
      <c r="X47" s="3">
        <v>41820</v>
      </c>
      <c r="Z47">
        <v>35567.03</v>
      </c>
      <c r="AB47">
        <v>35567.03</v>
      </c>
      <c r="AE47">
        <v>35567.03</v>
      </c>
      <c r="AG47">
        <v>209154.76</v>
      </c>
      <c r="AI47">
        <v>209154.76</v>
      </c>
      <c r="AK47">
        <v>245735.54</v>
      </c>
      <c r="AM47">
        <v>245735.54</v>
      </c>
      <c r="AO47">
        <v>130290.66</v>
      </c>
      <c r="AQ47">
        <v>130290.66</v>
      </c>
      <c r="AV47">
        <v>71396.759999999995</v>
      </c>
      <c r="AX47">
        <v>71396.759999999995</v>
      </c>
      <c r="BB47">
        <v>656577.72000000009</v>
      </c>
      <c r="BD47">
        <v>25763.41</v>
      </c>
      <c r="BF47">
        <v>25763.41</v>
      </c>
      <c r="BI47">
        <v>25763.41</v>
      </c>
      <c r="BL47">
        <v>20929.46</v>
      </c>
      <c r="BN47">
        <v>20929.46</v>
      </c>
      <c r="BO47">
        <v>20929.46</v>
      </c>
      <c r="BX47">
        <v>898880.31</v>
      </c>
      <c r="BY47" s="1"/>
      <c r="BZ47" s="1"/>
    </row>
    <row r="48" spans="4:78">
      <c r="D48" s="3">
        <v>41827</v>
      </c>
      <c r="E48" s="11">
        <f t="shared" si="4"/>
        <v>860788.52</v>
      </c>
      <c r="F48" s="4">
        <f t="shared" si="5"/>
        <v>623420.24</v>
      </c>
      <c r="G48" s="4">
        <f t="shared" si="6"/>
        <v>0.72424320900562189</v>
      </c>
      <c r="H48" s="4">
        <f t="shared" si="0"/>
        <v>0</v>
      </c>
      <c r="I48" s="4">
        <f t="shared" si="1"/>
        <v>0</v>
      </c>
      <c r="J48" s="4">
        <f t="shared" si="7"/>
        <v>0</v>
      </c>
      <c r="K48" s="4">
        <f t="shared" si="8"/>
        <v>0</v>
      </c>
      <c r="L48" s="4">
        <f t="shared" si="9"/>
        <v>0</v>
      </c>
      <c r="M48" s="4">
        <f t="shared" si="10"/>
        <v>0</v>
      </c>
      <c r="N48" s="4">
        <f t="shared" si="11"/>
        <v>21216.880000000001</v>
      </c>
      <c r="O48" s="4">
        <f t="shared" si="12"/>
        <v>2.4648191172438036E-2</v>
      </c>
      <c r="P48" s="4">
        <f t="shared" si="18"/>
        <v>644637.12</v>
      </c>
      <c r="Q48" s="4">
        <f t="shared" si="19"/>
        <v>0.74889140017806</v>
      </c>
      <c r="R48" s="4">
        <v>42</v>
      </c>
      <c r="S48" s="4">
        <f t="shared" si="20"/>
        <v>649260.05345646956</v>
      </c>
      <c r="T48" s="4">
        <f t="shared" si="21"/>
        <v>0.75426198</v>
      </c>
      <c r="U48" s="11">
        <f t="shared" si="13"/>
        <v>216151.40000000002</v>
      </c>
      <c r="V48" s="11">
        <f t="shared" si="14"/>
        <v>0.25110859982194</v>
      </c>
      <c r="X48" s="3">
        <v>41827</v>
      </c>
      <c r="Z48">
        <v>35900.26</v>
      </c>
      <c r="AB48">
        <v>35900.26</v>
      </c>
      <c r="AE48">
        <v>35900.26</v>
      </c>
      <c r="AG48">
        <v>204545.58</v>
      </c>
      <c r="AI48">
        <v>204545.58</v>
      </c>
      <c r="AK48">
        <v>219608.94</v>
      </c>
      <c r="AM48">
        <v>219608.94</v>
      </c>
      <c r="AO48">
        <v>127670.59</v>
      </c>
      <c r="AQ48">
        <v>127670.59</v>
      </c>
      <c r="AV48">
        <v>71595.13</v>
      </c>
      <c r="AX48">
        <v>71595.13</v>
      </c>
      <c r="BB48">
        <v>623420.24</v>
      </c>
      <c r="BD48">
        <v>25289.03</v>
      </c>
      <c r="BF48">
        <v>25289.03</v>
      </c>
      <c r="BI48">
        <v>25289.03</v>
      </c>
      <c r="BL48">
        <v>21216.880000000001</v>
      </c>
      <c r="BN48">
        <v>21216.880000000001</v>
      </c>
      <c r="BO48">
        <v>21216.880000000001</v>
      </c>
      <c r="BX48">
        <v>860788.52</v>
      </c>
      <c r="BY48" s="1"/>
      <c r="BZ48" s="1"/>
    </row>
    <row r="49" spans="4:78">
      <c r="D49" s="3">
        <v>41834</v>
      </c>
      <c r="E49" s="11">
        <f t="shared" si="4"/>
        <v>870282.19</v>
      </c>
      <c r="F49" s="4">
        <f t="shared" si="5"/>
        <v>634247.02999999991</v>
      </c>
      <c r="G49" s="4">
        <f t="shared" si="6"/>
        <v>0.72878318927795127</v>
      </c>
      <c r="H49" s="4">
        <f t="shared" si="0"/>
        <v>0</v>
      </c>
      <c r="I49" s="4">
        <f t="shared" si="1"/>
        <v>0</v>
      </c>
      <c r="J49" s="4">
        <f t="shared" si="7"/>
        <v>0</v>
      </c>
      <c r="K49" s="4">
        <f t="shared" si="8"/>
        <v>0</v>
      </c>
      <c r="L49" s="4">
        <f t="shared" si="9"/>
        <v>0</v>
      </c>
      <c r="M49" s="4">
        <f t="shared" si="10"/>
        <v>0</v>
      </c>
      <c r="N49" s="4">
        <f t="shared" si="11"/>
        <v>20865.060000000001</v>
      </c>
      <c r="O49" s="4">
        <f t="shared" si="12"/>
        <v>2.3975051126807503E-2</v>
      </c>
      <c r="P49" s="4">
        <f t="shared" si="18"/>
        <v>655112.09</v>
      </c>
      <c r="Q49" s="4">
        <f t="shared" si="19"/>
        <v>0.7527582404047588</v>
      </c>
      <c r="R49" s="4">
        <v>43</v>
      </c>
      <c r="S49" s="4">
        <f t="shared" si="20"/>
        <v>656644.59566458222</v>
      </c>
      <c r="T49" s="4">
        <f t="shared" si="21"/>
        <v>0.75451917000000002</v>
      </c>
      <c r="U49" s="11">
        <f t="shared" si="13"/>
        <v>215170.09999999998</v>
      </c>
      <c r="V49" s="11">
        <f t="shared" si="14"/>
        <v>0.24724175959524117</v>
      </c>
      <c r="X49" s="3">
        <v>41834</v>
      </c>
      <c r="Z49">
        <v>35439.440000000002</v>
      </c>
      <c r="AB49">
        <v>35439.440000000002</v>
      </c>
      <c r="AE49">
        <v>35439.440000000002</v>
      </c>
      <c r="AG49">
        <v>199335.63</v>
      </c>
      <c r="AI49">
        <v>199335.63</v>
      </c>
      <c r="AK49">
        <v>233945.47</v>
      </c>
      <c r="AM49">
        <v>233945.47</v>
      </c>
      <c r="AO49">
        <v>128562.34</v>
      </c>
      <c r="AQ49">
        <v>128562.34</v>
      </c>
      <c r="AV49">
        <v>72403.59</v>
      </c>
      <c r="AX49">
        <v>72403.59</v>
      </c>
      <c r="BB49">
        <v>634247.02999999991</v>
      </c>
      <c r="BD49">
        <v>24747.39</v>
      </c>
      <c r="BF49">
        <v>24747.39</v>
      </c>
      <c r="BI49">
        <v>24747.39</v>
      </c>
      <c r="BL49">
        <v>20865.060000000001</v>
      </c>
      <c r="BN49">
        <v>20865.060000000001</v>
      </c>
      <c r="BO49">
        <v>20865.060000000001</v>
      </c>
      <c r="BX49">
        <v>870282.19</v>
      </c>
      <c r="BY49" s="1"/>
      <c r="BZ49" s="1"/>
    </row>
    <row r="50" spans="4:78">
      <c r="D50" s="3">
        <v>41841</v>
      </c>
      <c r="E50" s="11">
        <f t="shared" si="4"/>
        <v>902579.4800000001</v>
      </c>
      <c r="F50" s="4">
        <f t="shared" si="5"/>
        <v>664018.64</v>
      </c>
      <c r="G50" s="4">
        <f t="shared" si="6"/>
        <v>0.73568993613725842</v>
      </c>
      <c r="H50" s="4">
        <f t="shared" si="0"/>
        <v>0</v>
      </c>
      <c r="I50" s="4">
        <f t="shared" si="1"/>
        <v>0</v>
      </c>
      <c r="J50" s="4">
        <f t="shared" si="7"/>
        <v>0</v>
      </c>
      <c r="K50" s="4">
        <f t="shared" si="8"/>
        <v>0</v>
      </c>
      <c r="L50" s="4">
        <f t="shared" si="9"/>
        <v>0</v>
      </c>
      <c r="M50" s="4">
        <f t="shared" si="10"/>
        <v>0</v>
      </c>
      <c r="N50" s="4">
        <f t="shared" si="11"/>
        <v>19072.55</v>
      </c>
      <c r="O50" s="4">
        <f t="shared" si="12"/>
        <v>2.11311584437971E-2</v>
      </c>
      <c r="P50" s="4">
        <f t="shared" si="18"/>
        <v>683091.19000000006</v>
      </c>
      <c r="Q50" s="4">
        <f t="shared" si="19"/>
        <v>0.75682109458105562</v>
      </c>
      <c r="R50" s="4">
        <v>44</v>
      </c>
      <c r="S50" s="4">
        <f t="shared" si="20"/>
        <v>681245.65452509292</v>
      </c>
      <c r="T50" s="4">
        <f t="shared" si="21"/>
        <v>0.75477636000000004</v>
      </c>
      <c r="U50" s="11">
        <f t="shared" si="13"/>
        <v>219488.29000000004</v>
      </c>
      <c r="V50" s="11">
        <f t="shared" si="14"/>
        <v>0.24317890541894441</v>
      </c>
      <c r="X50" s="3">
        <v>41841</v>
      </c>
      <c r="Z50">
        <v>35225.730000000003</v>
      </c>
      <c r="AB50">
        <v>35225.730000000003</v>
      </c>
      <c r="AE50">
        <v>35225.730000000003</v>
      </c>
      <c r="AG50">
        <v>201497.03</v>
      </c>
      <c r="AI50">
        <v>201497.03</v>
      </c>
      <c r="AK50">
        <v>251763.1</v>
      </c>
      <c r="AM50">
        <v>251763.1</v>
      </c>
      <c r="AO50">
        <v>138729.62</v>
      </c>
      <c r="AQ50">
        <v>138729.62</v>
      </c>
      <c r="AV50">
        <v>72028.89</v>
      </c>
      <c r="AX50">
        <v>72028.89</v>
      </c>
      <c r="BB50">
        <v>664018.64</v>
      </c>
      <c r="BD50">
        <v>24925.89</v>
      </c>
      <c r="BF50">
        <v>24925.89</v>
      </c>
      <c r="BI50">
        <v>24925.89</v>
      </c>
      <c r="BL50">
        <v>19072.55</v>
      </c>
      <c r="BN50">
        <v>19072.55</v>
      </c>
      <c r="BO50">
        <v>19072.55</v>
      </c>
      <c r="BX50">
        <v>902579.4800000001</v>
      </c>
      <c r="BY50" s="1"/>
      <c r="BZ50" s="1"/>
    </row>
    <row r="51" spans="4:78">
      <c r="D51" s="3">
        <v>41848</v>
      </c>
      <c r="E51" s="11">
        <f t="shared" si="4"/>
        <v>930409.58</v>
      </c>
      <c r="F51" s="4">
        <f t="shared" si="5"/>
        <v>693218.76</v>
      </c>
      <c r="G51" s="4">
        <f t="shared" si="6"/>
        <v>0.74506838160458322</v>
      </c>
      <c r="H51" s="4">
        <f t="shared" si="0"/>
        <v>0</v>
      </c>
      <c r="I51" s="4">
        <f t="shared" si="1"/>
        <v>0</v>
      </c>
      <c r="J51" s="4">
        <f t="shared" si="7"/>
        <v>0</v>
      </c>
      <c r="K51" s="4">
        <f t="shared" si="8"/>
        <v>0</v>
      </c>
      <c r="L51" s="4">
        <f t="shared" si="9"/>
        <v>0</v>
      </c>
      <c r="M51" s="4">
        <f t="shared" si="10"/>
        <v>0</v>
      </c>
      <c r="N51" s="4">
        <f t="shared" si="11"/>
        <v>8951.7000000000007</v>
      </c>
      <c r="O51" s="4">
        <f t="shared" si="12"/>
        <v>9.6212465912055654E-3</v>
      </c>
      <c r="P51" s="4">
        <f t="shared" si="18"/>
        <v>702170.46</v>
      </c>
      <c r="Q51" s="4">
        <f t="shared" si="19"/>
        <v>0.75468962819578878</v>
      </c>
      <c r="R51" s="4">
        <v>45</v>
      </c>
      <c r="S51" s="4">
        <f t="shared" si="20"/>
        <v>702490.44814140897</v>
      </c>
      <c r="T51" s="4">
        <f t="shared" si="21"/>
        <v>0.75503355000000005</v>
      </c>
      <c r="U51" s="11">
        <f t="shared" si="13"/>
        <v>228239.12</v>
      </c>
      <c r="V51" s="11">
        <f t="shared" si="14"/>
        <v>0.24531037180421122</v>
      </c>
      <c r="X51" s="3">
        <v>41848</v>
      </c>
      <c r="Z51">
        <v>36464.160000000003</v>
      </c>
      <c r="AB51">
        <v>36464.160000000003</v>
      </c>
      <c r="AE51">
        <v>36464.160000000003</v>
      </c>
      <c r="AG51">
        <v>213267.98</v>
      </c>
      <c r="AI51">
        <v>213267.98</v>
      </c>
      <c r="AK51">
        <v>268333.26</v>
      </c>
      <c r="AM51">
        <v>268333.26</v>
      </c>
      <c r="AO51">
        <v>140005.76999999999</v>
      </c>
      <c r="AQ51">
        <v>140005.76999999999</v>
      </c>
      <c r="AV51">
        <v>71611.75</v>
      </c>
      <c r="AX51">
        <v>71611.75</v>
      </c>
      <c r="BB51">
        <v>693218.76</v>
      </c>
      <c r="BD51">
        <v>25637.55</v>
      </c>
      <c r="BF51">
        <v>25637.55</v>
      </c>
      <c r="BI51">
        <v>25637.55</v>
      </c>
      <c r="BL51">
        <v>8951.7000000000007</v>
      </c>
      <c r="BN51">
        <v>8951.7000000000007</v>
      </c>
      <c r="BO51">
        <v>8951.7000000000007</v>
      </c>
      <c r="BX51">
        <v>930409.58</v>
      </c>
      <c r="BY51" s="1"/>
      <c r="BZ51" s="1"/>
    </row>
    <row r="52" spans="4:78">
      <c r="D52" s="3">
        <v>41855</v>
      </c>
      <c r="E52" s="11">
        <f t="shared" si="4"/>
        <v>959715.67999999982</v>
      </c>
      <c r="F52" s="4">
        <f t="shared" si="5"/>
        <v>711770.82000000007</v>
      </c>
      <c r="G52" s="4">
        <f t="shared" si="6"/>
        <v>0.74164758879421477</v>
      </c>
      <c r="H52" s="4">
        <f t="shared" si="0"/>
        <v>0</v>
      </c>
      <c r="I52" s="4">
        <f t="shared" si="1"/>
        <v>0</v>
      </c>
      <c r="J52" s="4">
        <f t="shared" si="7"/>
        <v>0</v>
      </c>
      <c r="K52" s="4">
        <f t="shared" si="8"/>
        <v>0</v>
      </c>
      <c r="L52" s="4">
        <f t="shared" si="9"/>
        <v>0</v>
      </c>
      <c r="M52" s="4">
        <f t="shared" si="10"/>
        <v>0</v>
      </c>
      <c r="N52" s="4">
        <f t="shared" si="11"/>
        <v>9964.82</v>
      </c>
      <c r="O52" s="4">
        <f t="shared" si="12"/>
        <v>1.0383095960253563E-2</v>
      </c>
      <c r="P52" s="4">
        <f t="shared" si="18"/>
        <v>721735.64</v>
      </c>
      <c r="Q52" s="4">
        <f t="shared" si="19"/>
        <v>0.75203068475446833</v>
      </c>
      <c r="R52" s="4">
        <v>46</v>
      </c>
      <c r="S52" s="4">
        <f t="shared" si="20"/>
        <v>724864.36613680306</v>
      </c>
      <c r="T52" s="4">
        <f t="shared" si="21"/>
        <v>0.75529073999999996</v>
      </c>
      <c r="U52" s="11">
        <f t="shared" si="13"/>
        <v>237980.0399999998</v>
      </c>
      <c r="V52" s="11">
        <f t="shared" si="14"/>
        <v>0.24796931524553173</v>
      </c>
      <c r="X52" s="3">
        <v>41855</v>
      </c>
      <c r="Z52">
        <v>40454.14</v>
      </c>
      <c r="AB52">
        <v>40454.14</v>
      </c>
      <c r="AE52">
        <v>40454.14</v>
      </c>
      <c r="AG52">
        <v>252468.65</v>
      </c>
      <c r="AI52">
        <v>252468.65</v>
      </c>
      <c r="AK52">
        <v>261917.12</v>
      </c>
      <c r="AM52">
        <v>261917.12</v>
      </c>
      <c r="AO52">
        <v>125788.26</v>
      </c>
      <c r="AQ52">
        <v>125788.26</v>
      </c>
      <c r="AV52">
        <v>71596.789999999994</v>
      </c>
      <c r="AX52">
        <v>71596.789999999994</v>
      </c>
      <c r="BB52">
        <v>711770.82000000007</v>
      </c>
      <c r="BD52">
        <v>28827.360000000001</v>
      </c>
      <c r="BF52">
        <v>28827.360000000001</v>
      </c>
      <c r="BI52">
        <v>28827.360000000001</v>
      </c>
      <c r="BL52">
        <v>9964.82</v>
      </c>
      <c r="BN52">
        <v>9964.82</v>
      </c>
      <c r="BO52">
        <v>9964.82</v>
      </c>
      <c r="BX52">
        <v>959715.67999999982</v>
      </c>
      <c r="BY52" s="1"/>
      <c r="BZ52" s="1"/>
    </row>
    <row r="53" spans="4:78">
      <c r="D53" s="3">
        <v>41862</v>
      </c>
      <c r="E53" s="11">
        <f t="shared" si="4"/>
        <v>944099.78</v>
      </c>
      <c r="F53" s="4">
        <f t="shared" si="5"/>
        <v>705182.6</v>
      </c>
      <c r="G53" s="4">
        <f t="shared" si="6"/>
        <v>0.74693651554499885</v>
      </c>
      <c r="H53" s="4">
        <f t="shared" si="0"/>
        <v>0</v>
      </c>
      <c r="I53" s="4">
        <f t="shared" si="1"/>
        <v>0</v>
      </c>
      <c r="J53" s="4">
        <f t="shared" si="7"/>
        <v>0</v>
      </c>
      <c r="K53" s="4">
        <f t="shared" si="8"/>
        <v>0</v>
      </c>
      <c r="L53" s="4">
        <f t="shared" si="9"/>
        <v>0</v>
      </c>
      <c r="M53" s="4">
        <f t="shared" si="10"/>
        <v>0</v>
      </c>
      <c r="N53" s="4">
        <f t="shared" si="11"/>
        <v>7004.77</v>
      </c>
      <c r="O53" s="4">
        <f t="shared" si="12"/>
        <v>7.419522966100045E-3</v>
      </c>
      <c r="P53" s="4">
        <f t="shared" si="18"/>
        <v>712187.37</v>
      </c>
      <c r="Q53" s="4">
        <f t="shared" si="19"/>
        <v>0.75435603851109889</v>
      </c>
      <c r="R53" s="4">
        <v>47</v>
      </c>
      <c r="S53" s="4">
        <f t="shared" si="20"/>
        <v>713312.6344924554</v>
      </c>
      <c r="T53" s="4">
        <f t="shared" si="21"/>
        <v>0.75554792999999998</v>
      </c>
      <c r="U53" s="11">
        <f t="shared" si="13"/>
        <v>231912.41000000003</v>
      </c>
      <c r="V53" s="11">
        <f t="shared" si="14"/>
        <v>0.24564396148890114</v>
      </c>
      <c r="X53" s="3">
        <v>41862</v>
      </c>
      <c r="Z53">
        <v>38827.58</v>
      </c>
      <c r="AB53">
        <v>38827.58</v>
      </c>
      <c r="AE53">
        <v>38827.58</v>
      </c>
      <c r="AG53">
        <v>236848.98</v>
      </c>
      <c r="AI53">
        <v>236848.98</v>
      </c>
      <c r="AK53">
        <v>266591.21999999997</v>
      </c>
      <c r="AM53">
        <v>266591.21999999997</v>
      </c>
      <c r="AO53">
        <v>128054.82</v>
      </c>
      <c r="AQ53">
        <v>128054.82</v>
      </c>
      <c r="AV53">
        <v>73687.58</v>
      </c>
      <c r="AX53">
        <v>73687.58</v>
      </c>
      <c r="BB53">
        <v>705182.6</v>
      </c>
      <c r="BD53">
        <v>27294.69</v>
      </c>
      <c r="BF53">
        <v>27294.69</v>
      </c>
      <c r="BI53">
        <v>27294.69</v>
      </c>
      <c r="BL53">
        <v>7004.77</v>
      </c>
      <c r="BN53">
        <v>7004.77</v>
      </c>
      <c r="BO53">
        <v>7004.77</v>
      </c>
      <c r="BX53">
        <v>944099.78</v>
      </c>
      <c r="BY53" s="1"/>
      <c r="BZ53" s="1"/>
    </row>
    <row r="54" spans="4:78">
      <c r="D54" s="3">
        <v>41869</v>
      </c>
      <c r="E54" s="11">
        <f t="shared" si="4"/>
        <v>942524.92999999993</v>
      </c>
      <c r="F54" s="4">
        <f t="shared" si="5"/>
        <v>707836.80999999994</v>
      </c>
      <c r="G54" s="4">
        <f t="shared" si="6"/>
        <v>0.7510006233999561</v>
      </c>
      <c r="H54" s="4">
        <f t="shared" si="0"/>
        <v>0</v>
      </c>
      <c r="I54" s="4">
        <f t="shared" si="1"/>
        <v>0</v>
      </c>
      <c r="J54" s="4">
        <f t="shared" si="7"/>
        <v>0</v>
      </c>
      <c r="K54" s="4">
        <f t="shared" si="8"/>
        <v>0</v>
      </c>
      <c r="L54" s="4">
        <f t="shared" si="9"/>
        <v>0</v>
      </c>
      <c r="M54" s="4">
        <f t="shared" si="10"/>
        <v>0</v>
      </c>
      <c r="N54" s="4">
        <f t="shared" si="11"/>
        <v>1688.71</v>
      </c>
      <c r="O54" s="4">
        <f t="shared" si="12"/>
        <v>1.7916873562166681E-3</v>
      </c>
      <c r="P54" s="4">
        <f t="shared" si="18"/>
        <v>709525.5199999999</v>
      </c>
      <c r="Q54" s="4">
        <f t="shared" si="19"/>
        <v>0.7527923107561727</v>
      </c>
      <c r="R54" s="4">
        <v>48</v>
      </c>
      <c r="S54" s="4">
        <f t="shared" si="20"/>
        <v>712365.16782164155</v>
      </c>
      <c r="T54" s="4">
        <f t="shared" si="21"/>
        <v>0.75580512</v>
      </c>
      <c r="U54" s="11">
        <f t="shared" si="13"/>
        <v>232999.41000000003</v>
      </c>
      <c r="V54" s="11">
        <f t="shared" si="14"/>
        <v>0.24720768924382727</v>
      </c>
      <c r="X54" s="3">
        <v>41869</v>
      </c>
      <c r="Z54">
        <v>38179.949999999997</v>
      </c>
      <c r="AB54">
        <v>38179.949999999997</v>
      </c>
      <c r="AE54">
        <v>38179.949999999997</v>
      </c>
      <c r="AG54">
        <v>229391.97</v>
      </c>
      <c r="AI54">
        <v>229391.97</v>
      </c>
      <c r="AK54">
        <v>274734.18</v>
      </c>
      <c r="AM54">
        <v>274734.18</v>
      </c>
      <c r="AO54">
        <v>129282.32</v>
      </c>
      <c r="AQ54">
        <v>129282.32</v>
      </c>
      <c r="AV54">
        <v>74428.34</v>
      </c>
      <c r="AX54">
        <v>74428.34</v>
      </c>
      <c r="BB54">
        <v>707836.80999999994</v>
      </c>
      <c r="BD54">
        <v>26963.49</v>
      </c>
      <c r="BF54">
        <v>26963.49</v>
      </c>
      <c r="BI54">
        <v>26963.49</v>
      </c>
      <c r="BL54">
        <v>1688.71</v>
      </c>
      <c r="BN54">
        <v>1688.71</v>
      </c>
      <c r="BO54">
        <v>1688.71</v>
      </c>
      <c r="BX54">
        <v>942524.92999999993</v>
      </c>
      <c r="BY54" s="1"/>
      <c r="BZ54" s="1"/>
    </row>
    <row r="55" spans="4:78">
      <c r="D55" s="3">
        <v>41876</v>
      </c>
      <c r="E55" s="11">
        <f t="shared" si="4"/>
        <v>1087181.9400000004</v>
      </c>
      <c r="F55" s="4">
        <f t="shared" si="5"/>
        <v>821757.47</v>
      </c>
      <c r="G55" s="4">
        <f t="shared" si="6"/>
        <v>0.7558601185004965</v>
      </c>
      <c r="H55" s="4">
        <f t="shared" si="0"/>
        <v>0</v>
      </c>
      <c r="I55" s="4">
        <f t="shared" si="1"/>
        <v>0</v>
      </c>
      <c r="J55" s="4">
        <f t="shared" si="7"/>
        <v>0</v>
      </c>
      <c r="K55" s="4">
        <f t="shared" si="8"/>
        <v>0</v>
      </c>
      <c r="L55" s="4">
        <f t="shared" si="9"/>
        <v>0</v>
      </c>
      <c r="M55" s="4">
        <f t="shared" si="10"/>
        <v>0</v>
      </c>
      <c r="N55" s="4">
        <f t="shared" si="11"/>
        <v>387.29</v>
      </c>
      <c r="O55" s="4">
        <f t="shared" si="12"/>
        <v>3.5623292270657098E-4</v>
      </c>
      <c r="P55" s="4">
        <f t="shared" si="18"/>
        <v>822144.76</v>
      </c>
      <c r="Q55" s="4">
        <f t="shared" si="19"/>
        <v>0.75621635142320309</v>
      </c>
      <c r="R55" s="4">
        <v>49</v>
      </c>
      <c r="S55" s="4">
        <f t="shared" si="20"/>
        <v>821977.28894668177</v>
      </c>
      <c r="T55" s="4">
        <f t="shared" si="21"/>
        <v>0.75606231000000002</v>
      </c>
      <c r="U55" s="11">
        <f t="shared" si="13"/>
        <v>265037.1800000004</v>
      </c>
      <c r="V55" s="11">
        <f t="shared" si="14"/>
        <v>0.24378364857679691</v>
      </c>
      <c r="X55" s="3">
        <v>41876</v>
      </c>
      <c r="Z55">
        <v>43711.28</v>
      </c>
      <c r="AB55">
        <v>43711.28</v>
      </c>
      <c r="AE55">
        <v>43711.28</v>
      </c>
      <c r="AG55">
        <v>291352.28000000003</v>
      </c>
      <c r="AI55">
        <v>291352.28000000003</v>
      </c>
      <c r="AK55">
        <v>304853.09999999998</v>
      </c>
      <c r="AM55">
        <v>304853.09999999998</v>
      </c>
      <c r="AO55">
        <v>144742.12</v>
      </c>
      <c r="AQ55">
        <v>144742.12</v>
      </c>
      <c r="AV55">
        <v>80809.97</v>
      </c>
      <c r="AX55">
        <v>80809.97</v>
      </c>
      <c r="BB55">
        <v>821757.47</v>
      </c>
      <c r="BD55">
        <v>31604.53</v>
      </c>
      <c r="BF55">
        <v>31604.53</v>
      </c>
      <c r="BI55">
        <v>31604.53</v>
      </c>
      <c r="BL55">
        <v>387.29</v>
      </c>
      <c r="BN55">
        <v>387.29</v>
      </c>
      <c r="BO55">
        <v>387.29</v>
      </c>
      <c r="BX55">
        <v>1087181.9400000004</v>
      </c>
      <c r="BY55" s="1"/>
      <c r="BZ55" s="1"/>
    </row>
    <row r="56" spans="4:78">
      <c r="D56" s="3">
        <v>41883</v>
      </c>
      <c r="E56" s="11">
        <f t="shared" si="4"/>
        <v>777272.04</v>
      </c>
      <c r="F56" s="4">
        <f t="shared" si="5"/>
        <v>588541.57999999996</v>
      </c>
      <c r="G56" s="4">
        <f t="shared" si="6"/>
        <v>0.75718866717500855</v>
      </c>
      <c r="H56" s="4">
        <f t="shared" si="0"/>
        <v>0</v>
      </c>
      <c r="I56" s="4">
        <f t="shared" si="1"/>
        <v>0</v>
      </c>
      <c r="J56" s="4">
        <f t="shared" si="7"/>
        <v>0</v>
      </c>
      <c r="K56" s="4">
        <f t="shared" si="8"/>
        <v>0</v>
      </c>
      <c r="L56" s="4">
        <f t="shared" si="9"/>
        <v>0</v>
      </c>
      <c r="M56" s="4">
        <f t="shared" si="10"/>
        <v>0</v>
      </c>
      <c r="N56" s="4">
        <f t="shared" si="11"/>
        <v>13.3</v>
      </c>
      <c r="O56" s="4">
        <f t="shared" si="12"/>
        <v>1.7111126240949049E-5</v>
      </c>
      <c r="P56" s="4">
        <f t="shared" si="18"/>
        <v>588554.88</v>
      </c>
      <c r="Q56" s="4">
        <f t="shared" si="19"/>
        <v>0.75720577830124958</v>
      </c>
      <c r="R56" s="4">
        <v>50</v>
      </c>
      <c r="S56" s="4">
        <f t="shared" si="20"/>
        <v>587866.00065678009</v>
      </c>
      <c r="T56" s="4">
        <f t="shared" si="21"/>
        <v>0.75631950000000003</v>
      </c>
      <c r="U56" s="11">
        <f t="shared" si="13"/>
        <v>188717.16000000003</v>
      </c>
      <c r="V56" s="11">
        <f t="shared" si="14"/>
        <v>0.24279422169875045</v>
      </c>
      <c r="X56" s="3">
        <v>41883</v>
      </c>
      <c r="Z56">
        <v>29198.1</v>
      </c>
      <c r="AB56">
        <v>29198.1</v>
      </c>
      <c r="AE56">
        <v>29198.1</v>
      </c>
      <c r="AG56">
        <v>153862.10999999999</v>
      </c>
      <c r="AI56">
        <v>153862.10999999999</v>
      </c>
      <c r="AK56">
        <v>217217.37</v>
      </c>
      <c r="AM56">
        <v>217217.37</v>
      </c>
      <c r="AO56">
        <v>154916</v>
      </c>
      <c r="AQ56">
        <v>154916</v>
      </c>
      <c r="AV56">
        <v>62546.1</v>
      </c>
      <c r="AX56">
        <v>62546.1</v>
      </c>
      <c r="BB56">
        <v>588541.57999999996</v>
      </c>
      <c r="BD56">
        <v>20250.98</v>
      </c>
      <c r="BF56">
        <v>20250.98</v>
      </c>
      <c r="BI56">
        <v>20250.98</v>
      </c>
      <c r="BL56">
        <v>13.3</v>
      </c>
      <c r="BN56">
        <v>13.3</v>
      </c>
      <c r="BO56">
        <v>13.3</v>
      </c>
      <c r="BX56">
        <v>777272.04</v>
      </c>
      <c r="BY56" s="1"/>
      <c r="BZ56" s="1"/>
    </row>
    <row r="57" spans="4:78">
      <c r="D57" s="3">
        <v>41890</v>
      </c>
      <c r="E57" s="11">
        <f t="shared" si="4"/>
        <v>872378.71</v>
      </c>
      <c r="F57" s="4">
        <f t="shared" si="5"/>
        <v>656999.52</v>
      </c>
      <c r="G57" s="4">
        <f t="shared" si="6"/>
        <v>0.75311273930561651</v>
      </c>
      <c r="H57" s="4">
        <f t="shared" si="0"/>
        <v>0</v>
      </c>
      <c r="I57" s="4">
        <f t="shared" si="1"/>
        <v>0</v>
      </c>
      <c r="J57" s="4">
        <f t="shared" si="7"/>
        <v>0</v>
      </c>
      <c r="K57" s="4">
        <f t="shared" si="8"/>
        <v>0</v>
      </c>
      <c r="L57" s="4">
        <f t="shared" si="9"/>
        <v>0</v>
      </c>
      <c r="M57" s="4">
        <f t="shared" si="10"/>
        <v>0</v>
      </c>
      <c r="N57" s="4">
        <f t="shared" si="11"/>
        <v>10.4</v>
      </c>
      <c r="O57" s="4">
        <f t="shared" si="12"/>
        <v>1.1921428022928254E-5</v>
      </c>
      <c r="P57" s="4">
        <f t="shared" si="18"/>
        <v>657009.92000000004</v>
      </c>
      <c r="Q57" s="4">
        <f t="shared" si="19"/>
        <v>0.75312466073363948</v>
      </c>
      <c r="R57" s="4">
        <v>51</v>
      </c>
      <c r="S57" s="4">
        <f t="shared" si="20"/>
        <v>660021.39683826989</v>
      </c>
      <c r="T57" s="4">
        <f t="shared" si="21"/>
        <v>0.75657669000000005</v>
      </c>
      <c r="U57" s="11">
        <f t="shared" si="13"/>
        <v>215368.78999999992</v>
      </c>
      <c r="V57" s="11">
        <f t="shared" si="14"/>
        <v>0.24687533926636052</v>
      </c>
      <c r="X57" s="3">
        <v>41890</v>
      </c>
      <c r="Z57">
        <v>34196.300000000003</v>
      </c>
      <c r="AB57">
        <v>34196.300000000003</v>
      </c>
      <c r="AE57">
        <v>34196.300000000003</v>
      </c>
      <c r="AG57">
        <v>176910.74</v>
      </c>
      <c r="AI57">
        <v>176910.74</v>
      </c>
      <c r="AK57">
        <v>244891.56</v>
      </c>
      <c r="AM57">
        <v>244891.56</v>
      </c>
      <c r="AO57">
        <v>162699.19</v>
      </c>
      <c r="AQ57">
        <v>162699.19</v>
      </c>
      <c r="AV57">
        <v>72498.03</v>
      </c>
      <c r="AX57">
        <v>72498.03</v>
      </c>
      <c r="BB57">
        <v>656999.52</v>
      </c>
      <c r="BD57">
        <v>23550.94</v>
      </c>
      <c r="BF57">
        <v>23550.94</v>
      </c>
      <c r="BI57">
        <v>23550.94</v>
      </c>
      <c r="BL57">
        <v>10.4</v>
      </c>
      <c r="BN57">
        <v>10.4</v>
      </c>
      <c r="BO57">
        <v>10.4</v>
      </c>
      <c r="BX57">
        <v>872378.71</v>
      </c>
      <c r="BY57" s="1"/>
      <c r="BZ57" s="1"/>
    </row>
    <row r="58" spans="4:78">
      <c r="D58" s="3">
        <v>41897</v>
      </c>
      <c r="E58" s="11">
        <f t="shared" si="4"/>
        <v>856032.25000000012</v>
      </c>
      <c r="F58" s="4">
        <f t="shared" si="5"/>
        <v>642771.66</v>
      </c>
      <c r="G58" s="4">
        <f t="shared" si="6"/>
        <v>0.75087318264002312</v>
      </c>
      <c r="H58" s="4">
        <f t="shared" si="0"/>
        <v>0</v>
      </c>
      <c r="I58" s="4">
        <f t="shared" si="1"/>
        <v>0</v>
      </c>
      <c r="J58" s="4">
        <f t="shared" si="7"/>
        <v>0</v>
      </c>
      <c r="K58" s="4">
        <f t="shared" si="8"/>
        <v>0</v>
      </c>
      <c r="L58" s="4">
        <f t="shared" si="9"/>
        <v>0</v>
      </c>
      <c r="M58" s="4">
        <f t="shared" si="10"/>
        <v>0</v>
      </c>
      <c r="N58" s="4">
        <f t="shared" si="11"/>
        <v>27.14</v>
      </c>
      <c r="O58" s="4">
        <f t="shared" si="12"/>
        <v>3.1704413005467953E-5</v>
      </c>
      <c r="P58" s="4">
        <f t="shared" si="18"/>
        <v>642798.80000000005</v>
      </c>
      <c r="Q58" s="4">
        <f t="shared" si="19"/>
        <v>0.7509048870530286</v>
      </c>
      <c r="R58" s="4">
        <v>52</v>
      </c>
      <c r="S58" s="4">
        <f t="shared" si="20"/>
        <v>647874.2091726301</v>
      </c>
      <c r="T58" s="4">
        <f t="shared" si="21"/>
        <v>0.75683387999999996</v>
      </c>
      <c r="U58" s="11">
        <f t="shared" si="13"/>
        <v>213233.45000000007</v>
      </c>
      <c r="V58" s="11">
        <f t="shared" si="14"/>
        <v>0.24909511294697137</v>
      </c>
      <c r="X58" s="3">
        <v>41897</v>
      </c>
      <c r="Z58">
        <v>34360.879999999997</v>
      </c>
      <c r="AB58">
        <v>34360.879999999997</v>
      </c>
      <c r="AE58">
        <v>34360.879999999997</v>
      </c>
      <c r="AG58">
        <v>178239.93</v>
      </c>
      <c r="AI58">
        <v>178239.93</v>
      </c>
      <c r="AK58">
        <v>246162.34</v>
      </c>
      <c r="AM58">
        <v>246162.34</v>
      </c>
      <c r="AO58">
        <v>145341.04</v>
      </c>
      <c r="AQ58">
        <v>145341.04</v>
      </c>
      <c r="AV58">
        <v>73028.350000000006</v>
      </c>
      <c r="AX58">
        <v>73028.350000000006</v>
      </c>
      <c r="BB58">
        <v>642771.66</v>
      </c>
      <c r="BD58">
        <v>23803.83</v>
      </c>
      <c r="BF58">
        <v>23803.83</v>
      </c>
      <c r="BI58">
        <v>23803.83</v>
      </c>
      <c r="BL58">
        <v>27.14</v>
      </c>
      <c r="BN58">
        <v>27.14</v>
      </c>
      <c r="BO58">
        <v>27.14</v>
      </c>
      <c r="BX58">
        <v>856032.25000000012</v>
      </c>
      <c r="BY58" s="1"/>
      <c r="BZ58" s="1"/>
    </row>
    <row r="59" spans="4:78">
      <c r="D59" s="3">
        <v>41904</v>
      </c>
      <c r="E59" s="11">
        <f t="shared" si="4"/>
        <v>873268.48</v>
      </c>
      <c r="F59" s="4">
        <f t="shared" si="5"/>
        <v>658631.6</v>
      </c>
      <c r="G59" s="4">
        <f t="shared" si="6"/>
        <v>0.754214328221259</v>
      </c>
      <c r="H59" s="4">
        <f t="shared" si="0"/>
        <v>0</v>
      </c>
      <c r="I59" s="4">
        <f t="shared" si="1"/>
        <v>0</v>
      </c>
      <c r="J59" s="4">
        <f t="shared" si="7"/>
        <v>0</v>
      </c>
      <c r="K59" s="4">
        <f t="shared" si="8"/>
        <v>0</v>
      </c>
      <c r="L59" s="4">
        <f t="shared" si="9"/>
        <v>0</v>
      </c>
      <c r="M59" s="4">
        <f t="shared" si="10"/>
        <v>0</v>
      </c>
      <c r="N59" s="4">
        <f t="shared" si="11"/>
        <v>-16.28</v>
      </c>
      <c r="O59" s="4">
        <f t="shared" si="12"/>
        <v>-1.8642605765411345E-5</v>
      </c>
      <c r="P59" s="4">
        <f t="shared" si="18"/>
        <v>658615.31999999995</v>
      </c>
      <c r="Q59" s="4">
        <f t="shared" si="19"/>
        <v>0.75419568561549355</v>
      </c>
      <c r="R59" s="4">
        <v>53</v>
      </c>
      <c r="S59" s="4">
        <f t="shared" si="20"/>
        <v>661143.76792047359</v>
      </c>
      <c r="T59" s="4">
        <f t="shared" si="21"/>
        <v>0.75709106999999998</v>
      </c>
      <c r="U59" s="11">
        <f t="shared" si="13"/>
        <v>214653.16000000003</v>
      </c>
      <c r="V59" s="11">
        <f t="shared" si="14"/>
        <v>0.24580431438450639</v>
      </c>
      <c r="X59" s="3">
        <v>41904</v>
      </c>
      <c r="Z59">
        <v>35105.42</v>
      </c>
      <c r="AB59">
        <v>35105.42</v>
      </c>
      <c r="AE59">
        <v>35105.42</v>
      </c>
      <c r="AG59">
        <v>183604.35</v>
      </c>
      <c r="AI59">
        <v>183604.35</v>
      </c>
      <c r="AK59">
        <v>254466.85</v>
      </c>
      <c r="AM59">
        <v>254466.85</v>
      </c>
      <c r="AO59">
        <v>146645.94</v>
      </c>
      <c r="AQ59">
        <v>146645.94</v>
      </c>
      <c r="AV59">
        <v>73914.460000000006</v>
      </c>
      <c r="AX59">
        <v>73914.460000000006</v>
      </c>
      <c r="BB59">
        <v>658631.6</v>
      </c>
      <c r="BD59">
        <v>24071.48</v>
      </c>
      <c r="BF59">
        <v>24071.48</v>
      </c>
      <c r="BI59">
        <v>24071.48</v>
      </c>
      <c r="BL59">
        <v>-16.28</v>
      </c>
      <c r="BN59">
        <v>-16.28</v>
      </c>
      <c r="BO59">
        <v>-16.28</v>
      </c>
      <c r="BX59">
        <v>873268.48</v>
      </c>
      <c r="BY59" s="1"/>
      <c r="BZ59" s="1"/>
    </row>
    <row r="60" spans="4:78">
      <c r="D60" s="3">
        <v>41911</v>
      </c>
      <c r="E60" s="11">
        <f t="shared" si="4"/>
        <v>859209.46000000008</v>
      </c>
      <c r="F60" s="4">
        <f t="shared" si="5"/>
        <v>648663.57999999996</v>
      </c>
      <c r="G60" s="4">
        <f t="shared" si="6"/>
        <v>0.75495395499951767</v>
      </c>
      <c r="H60" s="4">
        <f t="shared" si="0"/>
        <v>0</v>
      </c>
      <c r="I60" s="4">
        <f t="shared" si="1"/>
        <v>0</v>
      </c>
      <c r="J60" s="4">
        <f t="shared" si="7"/>
        <v>0</v>
      </c>
      <c r="K60" s="4">
        <f t="shared" si="8"/>
        <v>0</v>
      </c>
      <c r="L60" s="4">
        <f t="shared" si="9"/>
        <v>0</v>
      </c>
      <c r="M60" s="4">
        <f t="shared" si="10"/>
        <v>0</v>
      </c>
      <c r="N60" s="4">
        <f t="shared" si="11"/>
        <v>2</v>
      </c>
      <c r="O60" s="4">
        <f t="shared" si="12"/>
        <v>2.3277211123816071E-6</v>
      </c>
      <c r="P60" s="4">
        <f t="shared" si="18"/>
        <v>648665.57999999996</v>
      </c>
      <c r="Q60" s="4">
        <f t="shared" si="19"/>
        <v>0.75495628272063009</v>
      </c>
      <c r="R60" s="4">
        <v>54</v>
      </c>
      <c r="S60" s="4">
        <f t="shared" si="20"/>
        <v>650720.7895065397</v>
      </c>
      <c r="T60" s="4">
        <f t="shared" si="21"/>
        <v>0.75734826</v>
      </c>
      <c r="U60" s="11">
        <f t="shared" si="13"/>
        <v>210543.88000000012</v>
      </c>
      <c r="V60" s="11">
        <f t="shared" si="14"/>
        <v>0.24504371727936991</v>
      </c>
      <c r="X60" s="3">
        <v>41911</v>
      </c>
      <c r="Z60">
        <v>34500.269999999997</v>
      </c>
      <c r="AB60">
        <v>34500.269999999997</v>
      </c>
      <c r="AE60">
        <v>34500.269999999997</v>
      </c>
      <c r="AG60">
        <v>183033.72</v>
      </c>
      <c r="AI60">
        <v>183033.72</v>
      </c>
      <c r="AK60">
        <v>260203.67</v>
      </c>
      <c r="AM60">
        <v>260203.67</v>
      </c>
      <c r="AO60">
        <v>133346.85</v>
      </c>
      <c r="AQ60">
        <v>133346.85</v>
      </c>
      <c r="AV60">
        <v>72079.34</v>
      </c>
      <c r="AX60">
        <v>72079.34</v>
      </c>
      <c r="BB60">
        <v>648663.57999999996</v>
      </c>
      <c r="BD60">
        <v>23735.21</v>
      </c>
      <c r="BF60">
        <v>23735.21</v>
      </c>
      <c r="BI60">
        <v>23735.21</v>
      </c>
      <c r="BL60">
        <v>2</v>
      </c>
      <c r="BN60">
        <v>2</v>
      </c>
      <c r="BO60">
        <v>2</v>
      </c>
      <c r="BX60">
        <v>859209.46000000008</v>
      </c>
      <c r="BY60" s="1"/>
      <c r="BZ60" s="1"/>
    </row>
    <row r="61" spans="4:78">
      <c r="D61" s="3">
        <v>41918</v>
      </c>
      <c r="E61" s="11">
        <f t="shared" si="4"/>
        <v>849579.90999999992</v>
      </c>
      <c r="F61" s="4">
        <f t="shared" si="5"/>
        <v>639400.50999999989</v>
      </c>
      <c r="G61" s="4">
        <f t="shared" si="6"/>
        <v>0.75260785062584634</v>
      </c>
      <c r="H61" s="4">
        <f t="shared" si="0"/>
        <v>0</v>
      </c>
      <c r="I61" s="4">
        <f t="shared" si="1"/>
        <v>0</v>
      </c>
      <c r="J61" s="4">
        <f t="shared" si="7"/>
        <v>0</v>
      </c>
      <c r="K61" s="4">
        <f t="shared" si="8"/>
        <v>0</v>
      </c>
      <c r="L61" s="4">
        <f t="shared" si="9"/>
        <v>0</v>
      </c>
      <c r="M61" s="4">
        <f t="shared" si="10"/>
        <v>0</v>
      </c>
      <c r="N61" s="4">
        <f t="shared" si="11"/>
        <v>-0.96</v>
      </c>
      <c r="O61" s="4">
        <f t="shared" si="12"/>
        <v>-1.1299702225774149E-6</v>
      </c>
      <c r="P61" s="4">
        <f t="shared" si="18"/>
        <v>639399.54999999993</v>
      </c>
      <c r="Q61" s="4">
        <f t="shared" si="19"/>
        <v>0.75260672065562373</v>
      </c>
      <c r="R61" s="4">
        <v>55</v>
      </c>
      <c r="S61" s="4">
        <f t="shared" si="20"/>
        <v>643646.37002650939</v>
      </c>
      <c r="T61" s="4">
        <f t="shared" si="21"/>
        <v>0.75760545000000001</v>
      </c>
      <c r="U61" s="11">
        <f t="shared" si="13"/>
        <v>210180.36</v>
      </c>
      <c r="V61" s="11">
        <f t="shared" si="14"/>
        <v>0.24739327934437622</v>
      </c>
      <c r="X61" s="3">
        <v>41918</v>
      </c>
      <c r="Z61">
        <v>34737.03</v>
      </c>
      <c r="AB61">
        <v>34737.03</v>
      </c>
      <c r="AE61">
        <v>34737.03</v>
      </c>
      <c r="AG61">
        <v>181646.94</v>
      </c>
      <c r="AI61">
        <v>181646.94</v>
      </c>
      <c r="AK61">
        <v>250705.02</v>
      </c>
      <c r="AM61">
        <v>250705.02</v>
      </c>
      <c r="AO61">
        <v>133908.35</v>
      </c>
      <c r="AQ61">
        <v>133908.35</v>
      </c>
      <c r="AV61">
        <v>73140.2</v>
      </c>
      <c r="AX61">
        <v>73140.2</v>
      </c>
      <c r="BB61">
        <v>639400.50999999989</v>
      </c>
      <c r="BD61">
        <v>23900.89</v>
      </c>
      <c r="BF61">
        <v>23900.89</v>
      </c>
      <c r="BI61">
        <v>23900.89</v>
      </c>
      <c r="BL61">
        <v>-0.96</v>
      </c>
      <c r="BN61">
        <v>-0.96</v>
      </c>
      <c r="BO61">
        <v>-0.96</v>
      </c>
      <c r="BX61">
        <v>849579.90999999992</v>
      </c>
      <c r="BY61" s="1"/>
      <c r="BZ61" s="1"/>
    </row>
    <row r="62" spans="4:78">
      <c r="D62" s="3">
        <v>41925</v>
      </c>
      <c r="E62" s="11">
        <f t="shared" si="4"/>
        <v>840266.75999999989</v>
      </c>
      <c r="F62" s="4">
        <f t="shared" si="5"/>
        <v>631977.33000000007</v>
      </c>
      <c r="G62" s="4">
        <f t="shared" si="6"/>
        <v>0.7521151140145067</v>
      </c>
      <c r="H62" s="4">
        <f t="shared" si="0"/>
        <v>0</v>
      </c>
      <c r="I62" s="4">
        <f t="shared" si="1"/>
        <v>0</v>
      </c>
      <c r="J62" s="4">
        <f t="shared" si="7"/>
        <v>0</v>
      </c>
      <c r="K62" s="4">
        <f t="shared" si="8"/>
        <v>0</v>
      </c>
      <c r="L62" s="4">
        <f t="shared" si="9"/>
        <v>0</v>
      </c>
      <c r="M62" s="4">
        <f t="shared" si="10"/>
        <v>0</v>
      </c>
      <c r="N62" s="4">
        <f t="shared" si="11"/>
        <v>-1.78</v>
      </c>
      <c r="O62" s="4">
        <f t="shared" si="12"/>
        <v>-2.1183748837095497E-6</v>
      </c>
      <c r="P62" s="4">
        <f t="shared" si="18"/>
        <v>631975.55000000005</v>
      </c>
      <c r="Q62" s="4">
        <f t="shared" si="19"/>
        <v>0.75211299563962297</v>
      </c>
      <c r="R62" s="4">
        <v>56</v>
      </c>
      <c r="S62" s="4">
        <f t="shared" si="20"/>
        <v>636806.7850378463</v>
      </c>
      <c r="T62" s="4">
        <f t="shared" si="21"/>
        <v>0.75786264000000003</v>
      </c>
      <c r="U62" s="11">
        <f t="shared" si="13"/>
        <v>208291.20999999985</v>
      </c>
      <c r="V62" s="11">
        <f t="shared" si="14"/>
        <v>0.24788700436037703</v>
      </c>
      <c r="X62" s="3">
        <v>41925</v>
      </c>
      <c r="Z62">
        <v>34053.699999999997</v>
      </c>
      <c r="AB62">
        <v>34053.699999999997</v>
      </c>
      <c r="AE62">
        <v>34053.699999999997</v>
      </c>
      <c r="AG62">
        <v>180683.73</v>
      </c>
      <c r="AI62">
        <v>180683.73</v>
      </c>
      <c r="AK62">
        <v>242337.04</v>
      </c>
      <c r="AM62">
        <v>242337.04</v>
      </c>
      <c r="AO62">
        <v>134459.29</v>
      </c>
      <c r="AQ62">
        <v>134459.29</v>
      </c>
      <c r="AV62">
        <v>74497.27</v>
      </c>
      <c r="AX62">
        <v>74497.27</v>
      </c>
      <c r="BB62">
        <v>631977.33000000007</v>
      </c>
      <c r="BD62">
        <v>23415.31</v>
      </c>
      <c r="BF62">
        <v>23415.31</v>
      </c>
      <c r="BI62">
        <v>23415.31</v>
      </c>
      <c r="BL62">
        <v>-1.78</v>
      </c>
      <c r="BN62">
        <v>-1.78</v>
      </c>
      <c r="BO62">
        <v>-1.78</v>
      </c>
      <c r="BX62">
        <v>840266.75999999989</v>
      </c>
      <c r="BY62" s="1"/>
      <c r="BZ62" s="1"/>
    </row>
    <row r="63" spans="4:78">
      <c r="D63" s="3">
        <v>41932</v>
      </c>
      <c r="E63" s="11">
        <f t="shared" si="4"/>
        <v>845743.70999999985</v>
      </c>
      <c r="F63" s="4">
        <f t="shared" si="5"/>
        <v>637320.75</v>
      </c>
      <c r="G63" s="4">
        <f t="shared" si="6"/>
        <v>0.75356250654231893</v>
      </c>
      <c r="H63" s="4">
        <f t="shared" si="0"/>
        <v>0</v>
      </c>
      <c r="I63" s="4">
        <f t="shared" si="1"/>
        <v>0</v>
      </c>
      <c r="J63" s="4">
        <f t="shared" si="7"/>
        <v>0</v>
      </c>
      <c r="K63" s="4">
        <f t="shared" si="8"/>
        <v>0</v>
      </c>
      <c r="L63" s="4">
        <f t="shared" si="9"/>
        <v>0</v>
      </c>
      <c r="M63" s="4">
        <f t="shared" si="10"/>
        <v>0</v>
      </c>
      <c r="N63" s="4">
        <f t="shared" si="11"/>
        <v>-0.18</v>
      </c>
      <c r="O63" s="4">
        <f t="shared" si="12"/>
        <v>-2.1283043299251971E-7</v>
      </c>
      <c r="P63" s="4">
        <f t="shared" si="18"/>
        <v>637320.56999999995</v>
      </c>
      <c r="Q63" s="4">
        <f t="shared" si="19"/>
        <v>0.75356229371188588</v>
      </c>
      <c r="R63" s="4">
        <v>57</v>
      </c>
      <c r="S63" s="4">
        <f t="shared" si="20"/>
        <v>641175.07764876925</v>
      </c>
      <c r="T63" s="4">
        <f t="shared" si="21"/>
        <v>0.75811983000000005</v>
      </c>
      <c r="U63" s="11">
        <f t="shared" si="13"/>
        <v>208423.1399999999</v>
      </c>
      <c r="V63" s="11">
        <f t="shared" si="14"/>
        <v>0.24643770628811409</v>
      </c>
      <c r="X63" s="3">
        <v>41932</v>
      </c>
      <c r="Z63">
        <v>34231.71</v>
      </c>
      <c r="AB63">
        <v>34231.71</v>
      </c>
      <c r="AE63">
        <v>34231.71</v>
      </c>
      <c r="AG63">
        <v>181927.95</v>
      </c>
      <c r="AI63">
        <v>181927.95</v>
      </c>
      <c r="AK63">
        <v>242150.77</v>
      </c>
      <c r="AM63">
        <v>242150.77</v>
      </c>
      <c r="AO63">
        <v>140622.01999999999</v>
      </c>
      <c r="AQ63">
        <v>140622.01999999999</v>
      </c>
      <c r="AV63">
        <v>72620.009999999995</v>
      </c>
      <c r="AX63">
        <v>72620.009999999995</v>
      </c>
      <c r="BB63">
        <v>637320.75</v>
      </c>
      <c r="BD63">
        <v>23561.34</v>
      </c>
      <c r="BF63">
        <v>23561.34</v>
      </c>
      <c r="BI63">
        <v>23561.34</v>
      </c>
      <c r="BL63">
        <v>-0.18</v>
      </c>
      <c r="BN63">
        <v>-0.18</v>
      </c>
      <c r="BO63">
        <v>-0.18</v>
      </c>
      <c r="BX63">
        <v>845743.70999999985</v>
      </c>
      <c r="BY63" s="1"/>
      <c r="BZ63" s="1"/>
    </row>
    <row r="64" spans="4:78">
      <c r="D64" s="3">
        <v>41939</v>
      </c>
      <c r="E64" s="11">
        <f t="shared" si="4"/>
        <v>871337.96</v>
      </c>
      <c r="F64" s="4">
        <f t="shared" si="5"/>
        <v>660594.16999999993</v>
      </c>
      <c r="G64" s="4">
        <f t="shared" si="6"/>
        <v>0.75813771501473426</v>
      </c>
      <c r="H64" s="4">
        <f t="shared" si="0"/>
        <v>0</v>
      </c>
      <c r="I64" s="4">
        <f t="shared" si="1"/>
        <v>0</v>
      </c>
      <c r="J64" s="4">
        <f t="shared" si="7"/>
        <v>0</v>
      </c>
      <c r="K64" s="4">
        <f t="shared" si="8"/>
        <v>0</v>
      </c>
      <c r="L64" s="4">
        <f t="shared" si="9"/>
        <v>0</v>
      </c>
      <c r="M64" s="4">
        <f t="shared" si="10"/>
        <v>0</v>
      </c>
      <c r="N64" s="4">
        <f t="shared" si="11"/>
        <v>-0.42</v>
      </c>
      <c r="O64" s="4">
        <f t="shared" si="12"/>
        <v>-4.8201733343512314E-7</v>
      </c>
      <c r="P64" s="4">
        <f t="shared" si="18"/>
        <v>660593.74999999988</v>
      </c>
      <c r="Q64" s="4">
        <f t="shared" si="19"/>
        <v>0.75813723299740077</v>
      </c>
      <c r="R64" s="4">
        <v>58</v>
      </c>
      <c r="S64" s="4">
        <f t="shared" si="20"/>
        <v>660802.68551767909</v>
      </c>
      <c r="T64" s="4">
        <f t="shared" si="21"/>
        <v>0.75837701999999996</v>
      </c>
      <c r="U64" s="11">
        <f t="shared" si="13"/>
        <v>210744.21000000008</v>
      </c>
      <c r="V64" s="11">
        <f t="shared" si="14"/>
        <v>0.24186276700259918</v>
      </c>
      <c r="X64" s="3">
        <v>41939</v>
      </c>
      <c r="Z64">
        <v>34054.839999999997</v>
      </c>
      <c r="AB64">
        <v>34054.839999999997</v>
      </c>
      <c r="AE64">
        <v>34054.839999999997</v>
      </c>
      <c r="AG64">
        <v>188483.08</v>
      </c>
      <c r="AI64">
        <v>188483.08</v>
      </c>
      <c r="AK64">
        <v>239852.33</v>
      </c>
      <c r="AM64">
        <v>239852.33</v>
      </c>
      <c r="AO64">
        <v>159985.57</v>
      </c>
      <c r="AQ64">
        <v>159985.57</v>
      </c>
      <c r="AV64">
        <v>72273.19</v>
      </c>
      <c r="AX64">
        <v>72273.19</v>
      </c>
      <c r="BB64">
        <v>660594.16999999993</v>
      </c>
      <c r="BD64">
        <v>23651.89</v>
      </c>
      <c r="BF64">
        <v>23651.89</v>
      </c>
      <c r="BI64">
        <v>23651.89</v>
      </c>
      <c r="BL64">
        <v>-0.42</v>
      </c>
      <c r="BN64">
        <v>-0.42</v>
      </c>
      <c r="BO64">
        <v>-0.42</v>
      </c>
      <c r="BX64">
        <v>871337.96</v>
      </c>
      <c r="BY64" s="1"/>
      <c r="BZ64" s="1"/>
    </row>
    <row r="65" spans="4:78">
      <c r="D65" s="3">
        <v>41946</v>
      </c>
      <c r="E65" s="11">
        <f t="shared" si="4"/>
        <v>799688.79</v>
      </c>
      <c r="F65" s="4">
        <f t="shared" si="5"/>
        <v>601903.49</v>
      </c>
      <c r="G65" s="4">
        <f t="shared" si="6"/>
        <v>0.75267216137917847</v>
      </c>
      <c r="H65" s="4">
        <f t="shared" si="0"/>
        <v>0</v>
      </c>
      <c r="I65" s="4">
        <f t="shared" si="1"/>
        <v>0</v>
      </c>
      <c r="J65" s="4">
        <f t="shared" si="7"/>
        <v>0</v>
      </c>
      <c r="K65" s="4">
        <f t="shared" si="8"/>
        <v>0</v>
      </c>
      <c r="L65" s="4">
        <f t="shared" si="9"/>
        <v>0</v>
      </c>
      <c r="M65" s="4">
        <f t="shared" si="10"/>
        <v>0</v>
      </c>
      <c r="N65" s="4">
        <f t="shared" si="11"/>
        <v>-3.02</v>
      </c>
      <c r="O65" s="4">
        <f t="shared" si="12"/>
        <v>-3.7764690936833063E-6</v>
      </c>
      <c r="P65" s="4">
        <f t="shared" si="18"/>
        <v>601900.47</v>
      </c>
      <c r="Q65" s="4">
        <f t="shared" si="19"/>
        <v>0.75266838491008481</v>
      </c>
      <c r="R65" s="4">
        <v>59</v>
      </c>
      <c r="S65" s="4">
        <f t="shared" si="20"/>
        <v>606671.2734475059</v>
      </c>
      <c r="T65" s="4">
        <f t="shared" si="21"/>
        <v>0.75863420999999998</v>
      </c>
      <c r="U65" s="11">
        <f t="shared" si="13"/>
        <v>197788.32000000007</v>
      </c>
      <c r="V65" s="11">
        <f t="shared" si="14"/>
        <v>0.24733161508991525</v>
      </c>
      <c r="X65" s="3">
        <v>41946</v>
      </c>
      <c r="Z65">
        <v>33195.46</v>
      </c>
      <c r="AB65">
        <v>33195.46</v>
      </c>
      <c r="AE65">
        <v>33195.46</v>
      </c>
      <c r="AG65">
        <v>185708.07</v>
      </c>
      <c r="AI65">
        <v>185708.07</v>
      </c>
      <c r="AK65">
        <v>234112.12</v>
      </c>
      <c r="AM65">
        <v>234112.12</v>
      </c>
      <c r="AO65">
        <v>110388.77</v>
      </c>
      <c r="AQ65">
        <v>110388.77</v>
      </c>
      <c r="AV65">
        <v>71694.53</v>
      </c>
      <c r="AX65">
        <v>71694.53</v>
      </c>
      <c r="BB65">
        <v>601903.49</v>
      </c>
      <c r="BD65">
        <v>22966.77</v>
      </c>
      <c r="BF65">
        <v>22966.77</v>
      </c>
      <c r="BI65">
        <v>22966.77</v>
      </c>
      <c r="BL65">
        <v>-3.02</v>
      </c>
      <c r="BN65">
        <v>-3.02</v>
      </c>
      <c r="BO65">
        <v>-3.02</v>
      </c>
      <c r="BX65">
        <v>799688.79</v>
      </c>
      <c r="BY65" s="1"/>
      <c r="BZ65" s="1"/>
    </row>
    <row r="66" spans="4:78">
      <c r="D66" s="3">
        <v>41953</v>
      </c>
      <c r="E66" s="11">
        <f t="shared" si="4"/>
        <v>806547.9099999998</v>
      </c>
      <c r="F66" s="4">
        <f t="shared" si="5"/>
        <v>608600.16999999993</v>
      </c>
      <c r="G66" s="4">
        <f t="shared" si="6"/>
        <v>0.75457410831304506</v>
      </c>
      <c r="H66" s="4">
        <f t="shared" si="0"/>
        <v>0</v>
      </c>
      <c r="I66" s="4">
        <f t="shared" si="1"/>
        <v>0</v>
      </c>
      <c r="J66" s="4">
        <f t="shared" si="7"/>
        <v>0</v>
      </c>
      <c r="K66" s="4">
        <f t="shared" si="8"/>
        <v>0</v>
      </c>
      <c r="L66" s="4">
        <f t="shared" si="9"/>
        <v>0</v>
      </c>
      <c r="M66" s="4">
        <f t="shared" si="10"/>
        <v>0</v>
      </c>
      <c r="N66" s="4">
        <f t="shared" si="11"/>
        <v>2.78</v>
      </c>
      <c r="O66" s="4">
        <f t="shared" si="12"/>
        <v>3.4467884245090915E-6</v>
      </c>
      <c r="P66" s="4">
        <f t="shared" si="18"/>
        <v>608602.94999999995</v>
      </c>
      <c r="Q66" s="4">
        <f t="shared" si="19"/>
        <v>0.75457755510146951</v>
      </c>
      <c r="R66" s="4">
        <v>60</v>
      </c>
      <c r="S66" s="4">
        <f t="shared" si="20"/>
        <v>612082.27258697385</v>
      </c>
      <c r="T66" s="4">
        <f t="shared" si="21"/>
        <v>0.75889139999999999</v>
      </c>
      <c r="U66" s="11">
        <f t="shared" si="13"/>
        <v>197944.95999999985</v>
      </c>
      <c r="V66" s="11">
        <f t="shared" si="14"/>
        <v>0.24542244489853046</v>
      </c>
      <c r="X66" s="3">
        <v>41953</v>
      </c>
      <c r="Z66">
        <v>34149.74</v>
      </c>
      <c r="AB66">
        <v>34149.74</v>
      </c>
      <c r="AE66">
        <v>34149.74</v>
      </c>
      <c r="AG66">
        <v>183926.25</v>
      </c>
      <c r="AI66">
        <v>183926.25</v>
      </c>
      <c r="AK66">
        <v>235415.56</v>
      </c>
      <c r="AM66">
        <v>235415.56</v>
      </c>
      <c r="AO66">
        <v>116248.01</v>
      </c>
      <c r="AQ66">
        <v>116248.01</v>
      </c>
      <c r="AV66">
        <v>73010.350000000006</v>
      </c>
      <c r="AX66">
        <v>73010.350000000006</v>
      </c>
      <c r="BB66">
        <v>608600.16999999993</v>
      </c>
      <c r="BD66">
        <v>23017.24</v>
      </c>
      <c r="BF66">
        <v>23017.24</v>
      </c>
      <c r="BI66">
        <v>23017.24</v>
      </c>
      <c r="BL66">
        <v>2.78</v>
      </c>
      <c r="BN66">
        <v>2.78</v>
      </c>
      <c r="BO66">
        <v>2.78</v>
      </c>
      <c r="BX66">
        <v>806547.9099999998</v>
      </c>
      <c r="BY66" s="1"/>
      <c r="BZ66" s="1"/>
    </row>
    <row r="67" spans="4:78">
      <c r="D67" s="3">
        <v>41960</v>
      </c>
      <c r="E67" s="11">
        <f t="shared" si="4"/>
        <v>891498.73000000021</v>
      </c>
      <c r="F67" s="4">
        <f t="shared" si="5"/>
        <v>674049.09</v>
      </c>
      <c r="G67" s="4">
        <f t="shared" si="6"/>
        <v>0.75608530592073842</v>
      </c>
      <c r="H67" s="4">
        <f t="shared" si="0"/>
        <v>0</v>
      </c>
      <c r="I67" s="4">
        <f t="shared" si="1"/>
        <v>0</v>
      </c>
      <c r="J67" s="4">
        <f t="shared" si="7"/>
        <v>0</v>
      </c>
      <c r="K67" s="4">
        <f t="shared" si="8"/>
        <v>0</v>
      </c>
      <c r="L67" s="4">
        <f t="shared" si="9"/>
        <v>0</v>
      </c>
      <c r="M67" s="4">
        <f t="shared" si="10"/>
        <v>0</v>
      </c>
      <c r="N67" s="4">
        <f t="shared" si="11"/>
        <v>-0.12</v>
      </c>
      <c r="O67" s="4">
        <f t="shared" si="12"/>
        <v>-1.3460479074378486E-7</v>
      </c>
      <c r="P67" s="4">
        <f t="shared" si="18"/>
        <v>674048.97</v>
      </c>
      <c r="Q67" s="4">
        <f t="shared" si="19"/>
        <v>0.75608517131594766</v>
      </c>
      <c r="R67" s="4">
        <v>61</v>
      </c>
      <c r="S67" s="4">
        <f t="shared" si="20"/>
        <v>676780.00386629091</v>
      </c>
      <c r="T67" s="4">
        <f t="shared" si="21"/>
        <v>0.75914859000000001</v>
      </c>
      <c r="U67" s="11">
        <f t="shared" si="13"/>
        <v>217449.76000000024</v>
      </c>
      <c r="V67" s="11">
        <f t="shared" si="14"/>
        <v>0.24391482868405229</v>
      </c>
      <c r="X67" s="3">
        <v>41960</v>
      </c>
      <c r="Z67">
        <v>36700.78</v>
      </c>
      <c r="AB67">
        <v>36700.78</v>
      </c>
      <c r="AE67">
        <v>36700.78</v>
      </c>
      <c r="AG67">
        <v>204399.04</v>
      </c>
      <c r="AI67">
        <v>204399.04</v>
      </c>
      <c r="AK67">
        <v>261218.96</v>
      </c>
      <c r="AM67">
        <v>261218.96</v>
      </c>
      <c r="AO67">
        <v>128518.59</v>
      </c>
      <c r="AQ67">
        <v>128518.59</v>
      </c>
      <c r="AV67">
        <v>79912.5</v>
      </c>
      <c r="AX67">
        <v>79912.5</v>
      </c>
      <c r="BB67">
        <v>674049.09</v>
      </c>
      <c r="BD67">
        <v>25266.14</v>
      </c>
      <c r="BF67">
        <v>25266.14</v>
      </c>
      <c r="BI67">
        <v>25266.14</v>
      </c>
      <c r="BL67">
        <v>-0.12</v>
      </c>
      <c r="BN67">
        <v>-0.12</v>
      </c>
      <c r="BO67">
        <v>-0.12</v>
      </c>
      <c r="BX67">
        <v>891498.73000000021</v>
      </c>
      <c r="BY67" s="1"/>
      <c r="BZ67" s="1"/>
    </row>
    <row r="68" spans="4:78">
      <c r="D68" s="3">
        <v>41967</v>
      </c>
      <c r="E68" s="11">
        <f t="shared" si="4"/>
        <v>624150.57999999996</v>
      </c>
      <c r="F68" s="4">
        <f t="shared" si="5"/>
        <v>474975.83</v>
      </c>
      <c r="G68" s="4">
        <f t="shared" si="6"/>
        <v>0.76099557577916543</v>
      </c>
      <c r="H68" s="4">
        <f t="shared" ref="H68:H75" si="22">AB68-Z68-Y68-BY68</f>
        <v>0</v>
      </c>
      <c r="I68" s="4">
        <f t="shared" ref="I68:I77" si="23">BF68-BD68-BC68-BZ68</f>
        <v>0</v>
      </c>
      <c r="J68" s="4">
        <f t="shared" si="7"/>
        <v>0</v>
      </c>
      <c r="K68" s="4">
        <f t="shared" si="8"/>
        <v>0</v>
      </c>
      <c r="L68" s="4">
        <f t="shared" si="9"/>
        <v>0</v>
      </c>
      <c r="M68" s="4">
        <f t="shared" si="10"/>
        <v>0</v>
      </c>
      <c r="N68" s="4">
        <f t="shared" si="11"/>
        <v>1.36</v>
      </c>
      <c r="O68" s="4">
        <f t="shared" si="12"/>
        <v>2.1789613653807711E-6</v>
      </c>
      <c r="P68" s="4">
        <f t="shared" ref="P68:P103" si="24">SUM(F68,N68)</f>
        <v>474977.19</v>
      </c>
      <c r="Q68" s="4">
        <f t="shared" ref="Q68:Q99" si="25">P68/E68</f>
        <v>0.76099775474053077</v>
      </c>
      <c r="R68" s="4">
        <v>62</v>
      </c>
      <c r="S68" s="4">
        <f t="shared" si="20"/>
        <v>473983.55804235238</v>
      </c>
      <c r="T68" s="4">
        <f t="shared" si="21"/>
        <v>0.75940578000000003</v>
      </c>
      <c r="U68" s="11">
        <f t="shared" si="13"/>
        <v>149173.38999999996</v>
      </c>
      <c r="V68" s="11">
        <f t="shared" si="14"/>
        <v>0.23900224525946923</v>
      </c>
      <c r="X68" s="3">
        <v>41967</v>
      </c>
      <c r="Z68">
        <v>25214.95</v>
      </c>
      <c r="AB68">
        <v>25214.95</v>
      </c>
      <c r="AE68">
        <v>25214.95</v>
      </c>
      <c r="AG68">
        <v>143728.45000000001</v>
      </c>
      <c r="AI68">
        <v>143728.45000000001</v>
      </c>
      <c r="AK68">
        <v>180786.39</v>
      </c>
      <c r="AM68">
        <v>180786.39</v>
      </c>
      <c r="AO68">
        <v>94454.75</v>
      </c>
      <c r="AQ68">
        <v>94454.75</v>
      </c>
      <c r="AV68">
        <v>56006.239999999998</v>
      </c>
      <c r="AX68">
        <v>56006.239999999998</v>
      </c>
      <c r="BB68">
        <v>474975.83</v>
      </c>
      <c r="BD68">
        <v>17610.37</v>
      </c>
      <c r="BF68">
        <v>17610.37</v>
      </c>
      <c r="BI68">
        <v>17610.37</v>
      </c>
      <c r="BL68">
        <v>1.36</v>
      </c>
      <c r="BN68">
        <v>1.36</v>
      </c>
      <c r="BO68">
        <v>1.36</v>
      </c>
      <c r="BX68">
        <v>624150.57999999996</v>
      </c>
      <c r="BY68" s="1"/>
      <c r="BZ68" s="1"/>
    </row>
    <row r="69" spans="4:78">
      <c r="D69" s="3">
        <v>41974</v>
      </c>
      <c r="E69" s="11">
        <f t="shared" ref="E69:E111" si="26">BX69</f>
        <v>769608.02</v>
      </c>
      <c r="F69" s="4">
        <f t="shared" ref="F69:F111" si="27">BB69</f>
        <v>580239.05000000005</v>
      </c>
      <c r="G69" s="4">
        <f t="shared" ref="G69:G111" si="28">F69/E69</f>
        <v>0.75394101272489344</v>
      </c>
      <c r="H69" s="4">
        <f t="shared" si="22"/>
        <v>0</v>
      </c>
      <c r="I69" s="4">
        <f t="shared" si="23"/>
        <v>0</v>
      </c>
      <c r="J69" s="4">
        <f t="shared" ref="J69:J111" si="29">SUM(H69:I69)</f>
        <v>0</v>
      </c>
      <c r="K69" s="4">
        <f t="shared" ref="K69:K111" si="30">SUM(AD69,BH69)</f>
        <v>0</v>
      </c>
      <c r="L69" s="4">
        <f t="shared" ref="L69:L111" si="31">SUM(J69:K69)</f>
        <v>0</v>
      </c>
      <c r="M69" s="4">
        <f t="shared" ref="M69:M111" si="32">L69/E69</f>
        <v>0</v>
      </c>
      <c r="N69" s="4">
        <f t="shared" ref="N69:N103" si="33">SUM(BO69,BT69,BW69)</f>
        <v>0</v>
      </c>
      <c r="O69" s="4">
        <f t="shared" ref="O69:O111" si="34">N69/E69</f>
        <v>0</v>
      </c>
      <c r="P69" s="4">
        <f t="shared" si="24"/>
        <v>580239.05000000005</v>
      </c>
      <c r="Q69" s="4">
        <f t="shared" si="25"/>
        <v>0.75394101272489344</v>
      </c>
      <c r="R69" s="4">
        <v>63</v>
      </c>
      <c r="S69" s="4">
        <f t="shared" si="20"/>
        <v>584642.71420901944</v>
      </c>
      <c r="T69" s="4">
        <f t="shared" si="21"/>
        <v>0.75966297000000005</v>
      </c>
      <c r="U69" s="11">
        <f t="shared" ref="U69:U110" si="35">E69-SUM(F69,L69,N69)</f>
        <v>189368.96999999997</v>
      </c>
      <c r="V69" s="11">
        <f t="shared" ref="V69:V110" si="36">U69/E69</f>
        <v>0.24605898727510658</v>
      </c>
      <c r="X69" s="3">
        <v>41974</v>
      </c>
      <c r="Z69">
        <v>31529.47</v>
      </c>
      <c r="AB69">
        <v>31529.47</v>
      </c>
      <c r="AE69">
        <v>31529.47</v>
      </c>
      <c r="AG69">
        <v>171557.15</v>
      </c>
      <c r="AI69">
        <v>171557.15</v>
      </c>
      <c r="AK69">
        <v>226131.89</v>
      </c>
      <c r="AM69">
        <v>226131.89</v>
      </c>
      <c r="AO69">
        <v>114267.17</v>
      </c>
      <c r="AQ69">
        <v>114267.17</v>
      </c>
      <c r="AV69">
        <v>68282.84</v>
      </c>
      <c r="AX69">
        <v>68282.84</v>
      </c>
      <c r="BB69">
        <v>580239.05000000005</v>
      </c>
      <c r="BD69">
        <v>22081.46</v>
      </c>
      <c r="BF69">
        <v>22081.46</v>
      </c>
      <c r="BI69">
        <v>22081.46</v>
      </c>
      <c r="BX69">
        <v>769608.02</v>
      </c>
      <c r="BY69" s="1"/>
      <c r="BZ69" s="1"/>
    </row>
    <row r="70" spans="4:78">
      <c r="D70" s="3">
        <v>41981</v>
      </c>
      <c r="E70" s="11">
        <f t="shared" si="26"/>
        <v>792606.2999999997</v>
      </c>
      <c r="F70" s="4">
        <f t="shared" si="27"/>
        <v>604379.65</v>
      </c>
      <c r="G70" s="4">
        <f t="shared" si="28"/>
        <v>0.76252188507711871</v>
      </c>
      <c r="H70" s="4">
        <f t="shared" si="22"/>
        <v>0</v>
      </c>
      <c r="I70" s="4">
        <f t="shared" si="23"/>
        <v>0</v>
      </c>
      <c r="J70" s="4">
        <f t="shared" si="29"/>
        <v>0</v>
      </c>
      <c r="K70" s="4">
        <f t="shared" si="30"/>
        <v>0</v>
      </c>
      <c r="L70" s="4">
        <f t="shared" si="31"/>
        <v>0</v>
      </c>
      <c r="M70" s="4">
        <f t="shared" si="32"/>
        <v>0</v>
      </c>
      <c r="N70" s="4">
        <f t="shared" si="33"/>
        <v>-0.06</v>
      </c>
      <c r="O70" s="4">
        <f t="shared" si="34"/>
        <v>-7.5699625400403736E-8</v>
      </c>
      <c r="P70" s="4">
        <f t="shared" si="24"/>
        <v>604379.59</v>
      </c>
      <c r="Q70" s="4">
        <f t="shared" si="25"/>
        <v>0.76252180937749325</v>
      </c>
      <c r="R70" s="4">
        <v>64</v>
      </c>
      <c r="S70" s="4">
        <f t="shared" si="20"/>
        <v>602317.50631300779</v>
      </c>
      <c r="T70" s="4">
        <f t="shared" si="21"/>
        <v>0.75992016000000007</v>
      </c>
      <c r="U70" s="11">
        <f t="shared" si="35"/>
        <v>188226.70999999973</v>
      </c>
      <c r="V70" s="11">
        <f t="shared" si="36"/>
        <v>0.23747819062250677</v>
      </c>
      <c r="X70" s="3">
        <v>41981</v>
      </c>
      <c r="Z70">
        <v>31039.439999999999</v>
      </c>
      <c r="AB70">
        <v>31039.439999999999</v>
      </c>
      <c r="AE70">
        <v>31039.439999999999</v>
      </c>
      <c r="AG70">
        <v>178235.92</v>
      </c>
      <c r="AI70">
        <v>178235.92</v>
      </c>
      <c r="AK70">
        <v>240989</v>
      </c>
      <c r="AM70">
        <v>240989</v>
      </c>
      <c r="AO70">
        <v>114927.95</v>
      </c>
      <c r="AQ70">
        <v>114927.95</v>
      </c>
      <c r="AV70">
        <v>70226.78</v>
      </c>
      <c r="AX70">
        <v>70226.78</v>
      </c>
      <c r="BB70">
        <v>604379.65</v>
      </c>
      <c r="BD70">
        <v>21768.63</v>
      </c>
      <c r="BF70">
        <v>21768.63</v>
      </c>
      <c r="BI70">
        <v>21768.63</v>
      </c>
      <c r="BL70">
        <v>-0.06</v>
      </c>
      <c r="BN70">
        <v>-0.06</v>
      </c>
      <c r="BO70">
        <v>-0.06</v>
      </c>
      <c r="BX70">
        <v>792606.2999999997</v>
      </c>
      <c r="BY70" s="1"/>
      <c r="BZ70" s="1"/>
    </row>
    <row r="71" spans="4:78">
      <c r="D71" s="3">
        <v>41988</v>
      </c>
      <c r="E71" s="11">
        <f t="shared" si="26"/>
        <v>906795.82</v>
      </c>
      <c r="F71" s="4">
        <f t="shared" si="27"/>
        <v>701828.58</v>
      </c>
      <c r="G71" s="4">
        <f t="shared" si="28"/>
        <v>0.77396538947433613</v>
      </c>
      <c r="H71" s="4">
        <f t="shared" si="22"/>
        <v>0</v>
      </c>
      <c r="I71" s="4">
        <f t="shared" si="23"/>
        <v>0</v>
      </c>
      <c r="J71" s="4">
        <f t="shared" si="29"/>
        <v>0</v>
      </c>
      <c r="K71" s="4">
        <f t="shared" si="30"/>
        <v>0</v>
      </c>
      <c r="L71" s="4">
        <f t="shared" si="31"/>
        <v>0</v>
      </c>
      <c r="M71" s="4">
        <f t="shared" si="32"/>
        <v>0</v>
      </c>
      <c r="N71" s="4">
        <f t="shared" si="33"/>
        <v>2.84</v>
      </c>
      <c r="O71" s="4">
        <f t="shared" si="34"/>
        <v>3.1319068056577499E-6</v>
      </c>
      <c r="P71" s="4">
        <f t="shared" si="24"/>
        <v>701831.41999999993</v>
      </c>
      <c r="Q71" s="4">
        <f t="shared" si="25"/>
        <v>0.77396852138114169</v>
      </c>
      <c r="R71" s="4">
        <v>65</v>
      </c>
      <c r="S71" s="4">
        <f t="shared" ref="S71:S102" si="37">E71*T71</f>
        <v>689325.64343867695</v>
      </c>
      <c r="T71" s="4">
        <f t="shared" si="21"/>
        <v>0.76017734999999997</v>
      </c>
      <c r="U71" s="11">
        <f t="shared" si="35"/>
        <v>204964.40000000002</v>
      </c>
      <c r="V71" s="11">
        <f t="shared" si="36"/>
        <v>0.22603147861885825</v>
      </c>
      <c r="X71" s="3">
        <v>41988</v>
      </c>
      <c r="Z71">
        <v>31995.59</v>
      </c>
      <c r="AB71">
        <v>31995.59</v>
      </c>
      <c r="AE71">
        <v>31995.59</v>
      </c>
      <c r="AG71">
        <v>206628.46</v>
      </c>
      <c r="AI71">
        <v>206628.46</v>
      </c>
      <c r="AK71">
        <v>280661.65999999997</v>
      </c>
      <c r="AM71">
        <v>280661.65999999997</v>
      </c>
      <c r="AO71">
        <v>132451.60999999999</v>
      </c>
      <c r="AQ71">
        <v>132451.60999999999</v>
      </c>
      <c r="AV71">
        <v>82086.850000000006</v>
      </c>
      <c r="AX71">
        <v>82086.850000000006</v>
      </c>
      <c r="BB71">
        <v>701828.58</v>
      </c>
      <c r="BD71">
        <v>22955.11</v>
      </c>
      <c r="BF71">
        <v>22955.11</v>
      </c>
      <c r="BI71">
        <v>22955.11</v>
      </c>
      <c r="BL71">
        <v>2.84</v>
      </c>
      <c r="BN71">
        <v>2.84</v>
      </c>
      <c r="BO71">
        <v>2.84</v>
      </c>
      <c r="BX71">
        <v>906795.82</v>
      </c>
      <c r="BY71" s="1"/>
      <c r="BZ71" s="1"/>
    </row>
    <row r="72" spans="4:78">
      <c r="D72" s="3">
        <v>41995</v>
      </c>
      <c r="E72" s="11">
        <f t="shared" si="26"/>
        <v>630350.23</v>
      </c>
      <c r="F72" s="4">
        <f t="shared" si="27"/>
        <v>491154.01</v>
      </c>
      <c r="G72" s="4">
        <f t="shared" si="28"/>
        <v>0.77917637945495799</v>
      </c>
      <c r="H72" s="4">
        <f t="shared" si="22"/>
        <v>0</v>
      </c>
      <c r="I72" s="4">
        <f t="shared" si="23"/>
        <v>0</v>
      </c>
      <c r="J72" s="4">
        <f t="shared" si="29"/>
        <v>0</v>
      </c>
      <c r="K72" s="4">
        <f t="shared" si="30"/>
        <v>0</v>
      </c>
      <c r="L72" s="4">
        <f t="shared" si="31"/>
        <v>0</v>
      </c>
      <c r="M72" s="4">
        <f t="shared" si="32"/>
        <v>0</v>
      </c>
      <c r="N72" s="4">
        <f t="shared" si="33"/>
        <v>-0.12</v>
      </c>
      <c r="O72" s="4">
        <f t="shared" si="34"/>
        <v>-1.9037035966497545E-7</v>
      </c>
      <c r="P72" s="4">
        <f t="shared" si="24"/>
        <v>491153.89</v>
      </c>
      <c r="Q72" s="4">
        <f t="shared" si="25"/>
        <v>0.77917618908459829</v>
      </c>
      <c r="R72" s="4">
        <v>66</v>
      </c>
      <c r="S72" s="4">
        <f t="shared" si="37"/>
        <v>479340.08718894416</v>
      </c>
      <c r="T72" s="4">
        <f t="shared" si="21"/>
        <v>0.76043453999999999</v>
      </c>
      <c r="U72" s="11">
        <f t="shared" si="35"/>
        <v>139196.33999999997</v>
      </c>
      <c r="V72" s="11">
        <f t="shared" si="36"/>
        <v>0.22082381091540171</v>
      </c>
      <c r="X72" s="3">
        <v>41995</v>
      </c>
      <c r="Z72">
        <v>20336.84</v>
      </c>
      <c r="AB72">
        <v>20336.84</v>
      </c>
      <c r="AE72">
        <v>20336.84</v>
      </c>
      <c r="AG72">
        <v>142756.69</v>
      </c>
      <c r="AI72">
        <v>142756.69</v>
      </c>
      <c r="AK72">
        <v>194678.99</v>
      </c>
      <c r="AM72">
        <v>194678.99</v>
      </c>
      <c r="AO72">
        <v>95087.01</v>
      </c>
      <c r="AQ72">
        <v>95087.01</v>
      </c>
      <c r="AV72">
        <v>58631.32</v>
      </c>
      <c r="AX72">
        <v>58631.32</v>
      </c>
      <c r="BB72">
        <v>491154.01</v>
      </c>
      <c r="BD72">
        <v>15092.67</v>
      </c>
      <c r="BF72">
        <v>15092.67</v>
      </c>
      <c r="BI72">
        <v>15092.67</v>
      </c>
      <c r="BL72">
        <v>-0.12</v>
      </c>
      <c r="BN72">
        <v>-0.12</v>
      </c>
      <c r="BO72">
        <v>-0.12</v>
      </c>
      <c r="BX72">
        <v>630350.23</v>
      </c>
      <c r="BY72" s="1"/>
      <c r="BZ72" s="1"/>
    </row>
    <row r="73" spans="4:78">
      <c r="D73" s="3">
        <v>42002</v>
      </c>
      <c r="E73" s="11">
        <f t="shared" si="26"/>
        <v>682839.87000000023</v>
      </c>
      <c r="F73" s="4">
        <f t="shared" si="27"/>
        <v>530667.93000000005</v>
      </c>
      <c r="G73" s="4">
        <f t="shared" si="28"/>
        <v>0.77714842573559728</v>
      </c>
      <c r="H73" s="4">
        <f t="shared" si="22"/>
        <v>0</v>
      </c>
      <c r="I73" s="4">
        <f t="shared" si="23"/>
        <v>0</v>
      </c>
      <c r="J73" s="4">
        <f t="shared" si="29"/>
        <v>0</v>
      </c>
      <c r="K73" s="4">
        <f t="shared" si="30"/>
        <v>0</v>
      </c>
      <c r="L73" s="4">
        <f t="shared" si="31"/>
        <v>0</v>
      </c>
      <c r="M73" s="4">
        <f t="shared" si="32"/>
        <v>0</v>
      </c>
      <c r="N73" s="4">
        <f t="shared" si="33"/>
        <v>0</v>
      </c>
      <c r="O73" s="4">
        <f t="shared" si="34"/>
        <v>0</v>
      </c>
      <c r="P73" s="4">
        <f t="shared" si="24"/>
        <v>530667.93000000005</v>
      </c>
      <c r="Q73" s="4">
        <f t="shared" si="25"/>
        <v>0.77714842573559728</v>
      </c>
      <c r="R73" s="4">
        <v>67</v>
      </c>
      <c r="S73" s="4">
        <f t="shared" si="37"/>
        <v>519430.64202327526</v>
      </c>
      <c r="T73" s="4">
        <f t="shared" ref="T73:T101" si="38">$B$9+$B$10*R73</f>
        <v>0.76069173000000001</v>
      </c>
      <c r="U73" s="11">
        <f t="shared" si="35"/>
        <v>152171.94000000018</v>
      </c>
      <c r="V73" s="11">
        <f t="shared" si="36"/>
        <v>0.22285157426440275</v>
      </c>
      <c r="X73" s="3">
        <v>42002</v>
      </c>
      <c r="Z73">
        <v>21709.439999999999</v>
      </c>
      <c r="AB73">
        <v>21709.439999999999</v>
      </c>
      <c r="AE73">
        <v>21709.439999999999</v>
      </c>
      <c r="AG73">
        <v>162951.16</v>
      </c>
      <c r="AI73">
        <v>162951.16</v>
      </c>
      <c r="AK73">
        <v>205854.12</v>
      </c>
      <c r="AM73">
        <v>205854.12</v>
      </c>
      <c r="AO73">
        <v>98146.52</v>
      </c>
      <c r="AQ73">
        <v>98146.52</v>
      </c>
      <c r="AV73">
        <v>63716.13</v>
      </c>
      <c r="AX73">
        <v>63716.13</v>
      </c>
      <c r="BB73">
        <v>530667.93000000005</v>
      </c>
      <c r="BD73">
        <v>15833.92</v>
      </c>
      <c r="BF73">
        <v>15833.92</v>
      </c>
      <c r="BI73">
        <v>15833.92</v>
      </c>
      <c r="BL73">
        <v>0</v>
      </c>
      <c r="BN73">
        <v>0</v>
      </c>
      <c r="BO73">
        <v>0</v>
      </c>
      <c r="BX73">
        <v>682839.87000000023</v>
      </c>
      <c r="BY73" s="1"/>
      <c r="BZ73" s="1"/>
    </row>
    <row r="74" spans="4:78">
      <c r="D74" s="3">
        <v>42009</v>
      </c>
      <c r="E74" s="11">
        <f t="shared" si="26"/>
        <v>760525.25</v>
      </c>
      <c r="F74" s="4">
        <f t="shared" si="27"/>
        <v>587627.70000000007</v>
      </c>
      <c r="G74" s="4">
        <f t="shared" si="28"/>
        <v>0.77266034230947633</v>
      </c>
      <c r="H74" s="4">
        <f t="shared" si="22"/>
        <v>0</v>
      </c>
      <c r="I74" s="4">
        <f t="shared" si="23"/>
        <v>0</v>
      </c>
      <c r="J74" s="4">
        <f t="shared" si="29"/>
        <v>0</v>
      </c>
      <c r="K74" s="4">
        <f t="shared" si="30"/>
        <v>-1.42</v>
      </c>
      <c r="L74" s="4">
        <f t="shared" si="31"/>
        <v>-1.42</v>
      </c>
      <c r="M74" s="4">
        <f t="shared" si="32"/>
        <v>-1.8671306442488266E-6</v>
      </c>
      <c r="N74" s="4">
        <f t="shared" si="33"/>
        <v>-0.56000000000000005</v>
      </c>
      <c r="O74" s="4">
        <f t="shared" si="34"/>
        <v>-7.3633321181643878E-7</v>
      </c>
      <c r="P74" s="4">
        <f t="shared" si="24"/>
        <v>587627.14</v>
      </c>
      <c r="Q74" s="4">
        <f t="shared" si="25"/>
        <v>0.77265960597626449</v>
      </c>
      <c r="R74" s="4">
        <v>68</v>
      </c>
      <c r="S74" s="4">
        <f t="shared" si="37"/>
        <v>578720.86762023007</v>
      </c>
      <c r="T74" s="4">
        <f t="shared" si="38"/>
        <v>0.76094892000000003</v>
      </c>
      <c r="U74" s="11">
        <f t="shared" si="35"/>
        <v>172899.53000000003</v>
      </c>
      <c r="V74" s="11">
        <f t="shared" si="36"/>
        <v>0.22734226115437986</v>
      </c>
      <c r="X74" s="3">
        <v>42009</v>
      </c>
      <c r="AA74">
        <v>24995.79</v>
      </c>
      <c r="AB74">
        <v>24995.79</v>
      </c>
      <c r="AE74">
        <v>24995.79</v>
      </c>
      <c r="AH74">
        <v>218406.56</v>
      </c>
      <c r="AI74">
        <v>218406.56</v>
      </c>
      <c r="AL74">
        <v>201613.36</v>
      </c>
      <c r="AM74">
        <v>201613.36</v>
      </c>
      <c r="AP74">
        <v>102159.85</v>
      </c>
      <c r="AQ74">
        <v>102159.85</v>
      </c>
      <c r="AW74">
        <v>65447.93</v>
      </c>
      <c r="AX74">
        <v>65447.93</v>
      </c>
      <c r="BB74">
        <v>587627.70000000007</v>
      </c>
      <c r="BE74">
        <v>17571.61</v>
      </c>
      <c r="BF74">
        <v>17571.61</v>
      </c>
      <c r="BG74">
        <v>-1.42</v>
      </c>
      <c r="BH74">
        <v>-1.42</v>
      </c>
      <c r="BI74">
        <v>17570.190000000002</v>
      </c>
      <c r="BP74">
        <v>-0.5</v>
      </c>
      <c r="BQ74">
        <v>-0.5</v>
      </c>
      <c r="BT74">
        <v>-0.5</v>
      </c>
      <c r="BU74">
        <v>-0.06</v>
      </c>
      <c r="BV74">
        <v>-0.06</v>
      </c>
      <c r="BW74">
        <v>-0.06</v>
      </c>
      <c r="BX74">
        <v>760525.25</v>
      </c>
      <c r="BY74" s="1">
        <v>24995.79</v>
      </c>
      <c r="BZ74" s="1">
        <v>17571.61</v>
      </c>
    </row>
    <row r="75" spans="4:78">
      <c r="D75" s="3">
        <v>42016</v>
      </c>
      <c r="E75" s="11">
        <f t="shared" si="26"/>
        <v>707731.36</v>
      </c>
      <c r="F75" s="4">
        <f t="shared" si="27"/>
        <v>549633.93000000005</v>
      </c>
      <c r="G75" s="4">
        <f t="shared" si="28"/>
        <v>0.77661378464280584</v>
      </c>
      <c r="H75" s="4">
        <f t="shared" si="22"/>
        <v>0</v>
      </c>
      <c r="I75" s="4">
        <f t="shared" si="23"/>
        <v>0</v>
      </c>
      <c r="J75" s="4">
        <f t="shared" si="29"/>
        <v>0</v>
      </c>
      <c r="K75" s="4">
        <f t="shared" si="30"/>
        <v>0</v>
      </c>
      <c r="L75" s="4">
        <f t="shared" si="31"/>
        <v>0</v>
      </c>
      <c r="M75" s="4">
        <f t="shared" si="32"/>
        <v>0</v>
      </c>
      <c r="N75" s="4">
        <f t="shared" si="33"/>
        <v>-0.78</v>
      </c>
      <c r="O75" s="4">
        <f t="shared" si="34"/>
        <v>-1.1021130955677873E-6</v>
      </c>
      <c r="P75" s="4">
        <f t="shared" si="24"/>
        <v>549633.15</v>
      </c>
      <c r="Q75" s="4">
        <f t="shared" si="25"/>
        <v>0.77661268252971016</v>
      </c>
      <c r="R75" s="4">
        <v>69</v>
      </c>
      <c r="S75" s="4">
        <f t="shared" si="37"/>
        <v>538729.43547060958</v>
      </c>
      <c r="T75" s="4">
        <f t="shared" si="38"/>
        <v>0.76120611000000005</v>
      </c>
      <c r="U75" s="11">
        <f t="shared" si="35"/>
        <v>158098.20999999996</v>
      </c>
      <c r="V75" s="11">
        <f t="shared" si="36"/>
        <v>0.22338731747028981</v>
      </c>
      <c r="X75" s="3">
        <v>42016</v>
      </c>
      <c r="AA75">
        <v>21460.28</v>
      </c>
      <c r="AB75">
        <v>21460.28</v>
      </c>
      <c r="AC75">
        <v>0</v>
      </c>
      <c r="AD75">
        <v>0</v>
      </c>
      <c r="AE75">
        <v>21460.28</v>
      </c>
      <c r="AH75">
        <v>192536.26</v>
      </c>
      <c r="AI75">
        <v>192536.26</v>
      </c>
      <c r="AL75">
        <v>194168.28</v>
      </c>
      <c r="AM75">
        <v>194168.28</v>
      </c>
      <c r="AP75">
        <v>97290.71</v>
      </c>
      <c r="AQ75">
        <v>97290.71</v>
      </c>
      <c r="AW75">
        <v>65638.679999999993</v>
      </c>
      <c r="AX75">
        <v>65638.679999999993</v>
      </c>
      <c r="BB75">
        <v>549633.93000000005</v>
      </c>
      <c r="BE75">
        <v>14624.62</v>
      </c>
      <c r="BF75">
        <v>14624.62</v>
      </c>
      <c r="BI75">
        <v>14624.62</v>
      </c>
      <c r="BM75">
        <v>-0.54</v>
      </c>
      <c r="BN75">
        <v>-0.54</v>
      </c>
      <c r="BO75">
        <v>-0.54</v>
      </c>
      <c r="BU75">
        <v>-0.24</v>
      </c>
      <c r="BV75">
        <v>-0.24</v>
      </c>
      <c r="BW75">
        <v>-0.24</v>
      </c>
      <c r="BX75">
        <v>707731.36</v>
      </c>
      <c r="BY75" s="1">
        <v>21460.28</v>
      </c>
      <c r="BZ75" s="1">
        <v>14624.62</v>
      </c>
    </row>
    <row r="76" spans="4:78">
      <c r="D76" s="3">
        <v>42023</v>
      </c>
      <c r="E76" s="11">
        <f t="shared" si="26"/>
        <v>718803.39999999979</v>
      </c>
      <c r="F76" s="4">
        <f t="shared" si="27"/>
        <v>562893.80999999994</v>
      </c>
      <c r="G76" s="4">
        <f t="shared" si="28"/>
        <v>0.78309842440923361</v>
      </c>
      <c r="H76" s="4">
        <f>AB76-Z76-Y76-BY76</f>
        <v>0</v>
      </c>
      <c r="I76" s="4">
        <f t="shared" si="23"/>
        <v>0</v>
      </c>
      <c r="J76" s="4">
        <f t="shared" si="29"/>
        <v>0</v>
      </c>
      <c r="K76" s="4">
        <f t="shared" si="30"/>
        <v>-0.95</v>
      </c>
      <c r="L76" s="4">
        <f t="shared" si="31"/>
        <v>-0.95</v>
      </c>
      <c r="M76" s="4">
        <f t="shared" si="32"/>
        <v>-1.3216409382593353E-6</v>
      </c>
      <c r="N76" s="4">
        <f t="shared" si="33"/>
        <v>-1.1800000000000002</v>
      </c>
      <c r="O76" s="4">
        <f t="shared" si="34"/>
        <v>-1.6416171654168588E-6</v>
      </c>
      <c r="P76" s="4">
        <f t="shared" si="24"/>
        <v>562892.62999999989</v>
      </c>
      <c r="Q76" s="4">
        <f t="shared" si="25"/>
        <v>0.78309678279206807</v>
      </c>
      <c r="R76" s="4">
        <v>70</v>
      </c>
      <c r="S76" s="4">
        <f t="shared" si="37"/>
        <v>547342.40901521978</v>
      </c>
      <c r="T76" s="4">
        <f t="shared" si="38"/>
        <v>0.76146329999999995</v>
      </c>
      <c r="U76" s="11">
        <f t="shared" si="35"/>
        <v>155911.71999999986</v>
      </c>
      <c r="V76" s="11">
        <f t="shared" si="36"/>
        <v>0.21690453884887009</v>
      </c>
      <c r="X76" s="3">
        <v>42023</v>
      </c>
      <c r="AA76">
        <v>19852.75</v>
      </c>
      <c r="AB76">
        <v>19852.75</v>
      </c>
      <c r="AC76">
        <v>0</v>
      </c>
      <c r="AD76">
        <v>0</v>
      </c>
      <c r="AE76">
        <v>19852.75</v>
      </c>
      <c r="AH76">
        <v>188549.57</v>
      </c>
      <c r="AI76">
        <v>188549.57</v>
      </c>
      <c r="AL76">
        <v>206597.15</v>
      </c>
      <c r="AM76">
        <v>206597.15</v>
      </c>
      <c r="AP76">
        <v>100392.24</v>
      </c>
      <c r="AQ76">
        <v>100392.24</v>
      </c>
      <c r="AW76">
        <v>67354.850000000006</v>
      </c>
      <c r="AX76">
        <v>67354.850000000006</v>
      </c>
      <c r="BB76">
        <v>562893.80999999994</v>
      </c>
      <c r="BE76">
        <v>13423.78</v>
      </c>
      <c r="BF76">
        <v>13423.78</v>
      </c>
      <c r="BG76">
        <v>-0.95</v>
      </c>
      <c r="BH76">
        <v>-0.95</v>
      </c>
      <c r="BI76">
        <v>13422.83</v>
      </c>
      <c r="BM76">
        <v>-0.06</v>
      </c>
      <c r="BN76">
        <v>-0.06</v>
      </c>
      <c r="BO76">
        <v>-0.06</v>
      </c>
      <c r="BU76">
        <v>-1.1200000000000001</v>
      </c>
      <c r="BV76">
        <v>-1.1200000000000001</v>
      </c>
      <c r="BW76">
        <v>-1.1200000000000001</v>
      </c>
      <c r="BX76">
        <v>718803.39999999979</v>
      </c>
      <c r="BY76" s="1">
        <v>19852.75</v>
      </c>
      <c r="BZ76" s="1">
        <v>13423.78</v>
      </c>
    </row>
    <row r="77" spans="4:78">
      <c r="D77" s="3">
        <v>42030</v>
      </c>
      <c r="E77" s="11">
        <f t="shared" si="26"/>
        <v>750092.5199999999</v>
      </c>
      <c r="F77" s="4">
        <f t="shared" si="27"/>
        <v>592248.73</v>
      </c>
      <c r="G77" s="4">
        <f t="shared" si="28"/>
        <v>0.7895675722776172</v>
      </c>
      <c r="H77" s="4">
        <f t="shared" ref="H77:H111" si="39">AB77-Z77-Y77-BY77</f>
        <v>0</v>
      </c>
      <c r="I77" s="4">
        <f t="shared" si="23"/>
        <v>0</v>
      </c>
      <c r="J77" s="4">
        <f t="shared" si="29"/>
        <v>0</v>
      </c>
      <c r="K77" s="4">
        <f t="shared" si="30"/>
        <v>0</v>
      </c>
      <c r="L77" s="4">
        <f t="shared" si="31"/>
        <v>0</v>
      </c>
      <c r="M77" s="4">
        <f t="shared" si="32"/>
        <v>0</v>
      </c>
      <c r="N77" s="4">
        <f t="shared" si="33"/>
        <v>-1.89</v>
      </c>
      <c r="O77" s="4">
        <f t="shared" si="34"/>
        <v>-2.5196891711438478E-6</v>
      </c>
      <c r="P77" s="4">
        <f t="shared" si="24"/>
        <v>592246.84</v>
      </c>
      <c r="Q77" s="4">
        <f t="shared" si="25"/>
        <v>0.78956505258844611</v>
      </c>
      <c r="R77" s="4">
        <v>71</v>
      </c>
      <c r="S77" s="4">
        <f t="shared" si="37"/>
        <v>571360.84187973465</v>
      </c>
      <c r="T77" s="4">
        <f t="shared" si="38"/>
        <v>0.76172048999999997</v>
      </c>
      <c r="U77" s="11">
        <f t="shared" si="35"/>
        <v>157845.67999999993</v>
      </c>
      <c r="V77" s="11">
        <f t="shared" si="36"/>
        <v>0.21043494741155391</v>
      </c>
      <c r="X77" s="3">
        <v>42030</v>
      </c>
      <c r="AA77">
        <v>17816.73</v>
      </c>
      <c r="AB77">
        <v>17816.73</v>
      </c>
      <c r="AC77">
        <v>0</v>
      </c>
      <c r="AD77">
        <v>0</v>
      </c>
      <c r="AE77">
        <v>17816.73</v>
      </c>
      <c r="AH77">
        <v>212162.16</v>
      </c>
      <c r="AI77">
        <v>212162.16</v>
      </c>
      <c r="AL77">
        <v>211625.66</v>
      </c>
      <c r="AM77">
        <v>211625.66</v>
      </c>
      <c r="AP77">
        <v>101279.3</v>
      </c>
      <c r="AQ77">
        <v>101279.3</v>
      </c>
      <c r="AW77">
        <v>67181.61</v>
      </c>
      <c r="AX77">
        <v>67181.61</v>
      </c>
      <c r="BB77">
        <v>592248.73</v>
      </c>
      <c r="BE77">
        <v>11851.23</v>
      </c>
      <c r="BF77">
        <v>11851.23</v>
      </c>
      <c r="BG77">
        <v>0</v>
      </c>
      <c r="BH77">
        <v>0</v>
      </c>
      <c r="BI77">
        <v>11851.23</v>
      </c>
      <c r="BM77">
        <v>-1.42</v>
      </c>
      <c r="BN77">
        <v>-1.42</v>
      </c>
      <c r="BO77">
        <v>-1.42</v>
      </c>
      <c r="BR77">
        <v>0</v>
      </c>
      <c r="BS77">
        <v>0</v>
      </c>
      <c r="BT77">
        <v>0</v>
      </c>
      <c r="BU77">
        <v>-0.47</v>
      </c>
      <c r="BV77">
        <v>-0.47</v>
      </c>
      <c r="BW77">
        <v>-0.47</v>
      </c>
      <c r="BX77">
        <v>750092.5199999999</v>
      </c>
      <c r="BY77" s="1">
        <v>17816.73</v>
      </c>
      <c r="BZ77" s="1">
        <v>11851.23</v>
      </c>
    </row>
    <row r="78" spans="4:78">
      <c r="D78" s="3">
        <v>42037</v>
      </c>
      <c r="E78" s="11">
        <f t="shared" si="26"/>
        <v>682184.19</v>
      </c>
      <c r="F78" s="4">
        <f t="shared" si="27"/>
        <v>545187.22</v>
      </c>
      <c r="G78" s="4">
        <f t="shared" si="28"/>
        <v>0.79917891383557282</v>
      </c>
      <c r="H78" s="4">
        <f t="shared" si="39"/>
        <v>9880.14</v>
      </c>
      <c r="I78" s="4">
        <f t="shared" ref="I78:I111" si="40">BF78-BD78-BC78-BZ78</f>
        <v>6159.71</v>
      </c>
      <c r="J78" s="4">
        <f t="shared" si="29"/>
        <v>16039.849999999999</v>
      </c>
      <c r="K78" s="4">
        <f t="shared" si="30"/>
        <v>268.38</v>
      </c>
      <c r="L78" s="4">
        <f t="shared" si="31"/>
        <v>16308.229999999998</v>
      </c>
      <c r="M78" s="4">
        <f t="shared" si="32"/>
        <v>2.3905904357003641E-2</v>
      </c>
      <c r="N78" s="4">
        <f t="shared" si="33"/>
        <v>429.52</v>
      </c>
      <c r="O78" s="4">
        <f t="shared" si="34"/>
        <v>6.2962467658477992E-4</v>
      </c>
      <c r="P78" s="4">
        <f t="shared" si="24"/>
        <v>545616.74</v>
      </c>
      <c r="Q78" s="4">
        <f t="shared" si="25"/>
        <v>0.79980853851215761</v>
      </c>
      <c r="R78" s="4">
        <v>72</v>
      </c>
      <c r="S78" s="4">
        <f t="shared" si="37"/>
        <v>519809.12642887916</v>
      </c>
      <c r="T78" s="4">
        <f t="shared" si="38"/>
        <v>0.76197767999999999</v>
      </c>
      <c r="U78" s="11">
        <f t="shared" si="35"/>
        <v>120259.21999999997</v>
      </c>
      <c r="V78" s="11">
        <f t="shared" si="36"/>
        <v>0.17628555713083879</v>
      </c>
      <c r="X78" s="3">
        <v>42037</v>
      </c>
      <c r="AA78">
        <v>9880.14</v>
      </c>
      <c r="AB78">
        <v>9880.14</v>
      </c>
      <c r="AC78">
        <v>136.32</v>
      </c>
      <c r="AD78">
        <v>136.32</v>
      </c>
      <c r="AE78">
        <v>10016.459999999999</v>
      </c>
      <c r="AH78">
        <v>154604.94</v>
      </c>
      <c r="AI78">
        <v>154604.94</v>
      </c>
      <c r="AL78">
        <v>218196.02</v>
      </c>
      <c r="AM78">
        <v>218196.02</v>
      </c>
      <c r="AP78">
        <v>102588.91</v>
      </c>
      <c r="AQ78">
        <v>102588.91</v>
      </c>
      <c r="AW78">
        <v>69797.350000000006</v>
      </c>
      <c r="AX78">
        <v>69797.350000000006</v>
      </c>
      <c r="BB78">
        <v>545187.22</v>
      </c>
      <c r="BE78">
        <v>6159.71</v>
      </c>
      <c r="BF78">
        <v>6159.71</v>
      </c>
      <c r="BG78">
        <v>132.06</v>
      </c>
      <c r="BH78">
        <v>132.06</v>
      </c>
      <c r="BI78">
        <v>6291.77</v>
      </c>
      <c r="BJ78">
        <v>7</v>
      </c>
      <c r="BK78">
        <v>7</v>
      </c>
      <c r="BM78">
        <v>161.16999999999999</v>
      </c>
      <c r="BN78">
        <v>161.16999999999999</v>
      </c>
      <c r="BO78">
        <v>168.17</v>
      </c>
      <c r="BP78">
        <v>8</v>
      </c>
      <c r="BQ78">
        <v>8</v>
      </c>
      <c r="BR78">
        <v>124.96</v>
      </c>
      <c r="BS78">
        <v>124.96</v>
      </c>
      <c r="BT78">
        <v>132.95999999999998</v>
      </c>
      <c r="BU78">
        <v>128.38999999999999</v>
      </c>
      <c r="BV78">
        <v>128.38999999999999</v>
      </c>
      <c r="BW78">
        <v>128.38999999999999</v>
      </c>
      <c r="BX78">
        <v>682184.19</v>
      </c>
      <c r="BY78" s="1"/>
      <c r="BZ78" s="1"/>
    </row>
    <row r="79" spans="4:78">
      <c r="D79" s="3">
        <v>42044</v>
      </c>
      <c r="E79" s="11">
        <f t="shared" si="26"/>
        <v>733612.48999999987</v>
      </c>
      <c r="F79" s="4">
        <f t="shared" si="27"/>
        <v>579742.01</v>
      </c>
      <c r="G79" s="4">
        <f t="shared" si="28"/>
        <v>0.79025646087350576</v>
      </c>
      <c r="H79" s="4">
        <f t="shared" si="39"/>
        <v>5455.25</v>
      </c>
      <c r="I79" s="4">
        <f t="shared" si="40"/>
        <v>2994.59</v>
      </c>
      <c r="J79" s="4">
        <f t="shared" si="29"/>
        <v>8449.84</v>
      </c>
      <c r="K79" s="4">
        <f t="shared" si="30"/>
        <v>8601.36</v>
      </c>
      <c r="L79" s="4">
        <f t="shared" si="31"/>
        <v>17051.2</v>
      </c>
      <c r="M79" s="4">
        <f t="shared" si="32"/>
        <v>2.3242788573569685E-2</v>
      </c>
      <c r="N79" s="4">
        <f t="shared" si="33"/>
        <v>13960.84</v>
      </c>
      <c r="O79" s="4">
        <f t="shared" si="34"/>
        <v>1.9030264874579771E-2</v>
      </c>
      <c r="P79" s="4">
        <f t="shared" si="24"/>
        <v>593702.85</v>
      </c>
      <c r="Q79" s="4">
        <f t="shared" si="25"/>
        <v>0.80928672574808547</v>
      </c>
      <c r="R79" s="4">
        <v>73</v>
      </c>
      <c r="S79" s="4">
        <f t="shared" si="37"/>
        <v>559185.02094552619</v>
      </c>
      <c r="T79" s="4">
        <f t="shared" si="38"/>
        <v>0.76223487000000001</v>
      </c>
      <c r="U79" s="11">
        <f t="shared" si="35"/>
        <v>122858.43999999994</v>
      </c>
      <c r="V79" s="11">
        <f t="shared" si="36"/>
        <v>0.16747048567834494</v>
      </c>
      <c r="X79" s="3">
        <v>42044</v>
      </c>
      <c r="AA79">
        <v>5455.25</v>
      </c>
      <c r="AB79">
        <v>5455.25</v>
      </c>
      <c r="AC79">
        <v>4394.37</v>
      </c>
      <c r="AD79">
        <v>4394.37</v>
      </c>
      <c r="AE79">
        <v>9849.619999999999</v>
      </c>
      <c r="AH79">
        <v>164686.29</v>
      </c>
      <c r="AI79">
        <v>164686.29</v>
      </c>
      <c r="AL79">
        <v>229100.98</v>
      </c>
      <c r="AM79">
        <v>229100.98</v>
      </c>
      <c r="AP79">
        <v>110293.53</v>
      </c>
      <c r="AQ79">
        <v>110293.53</v>
      </c>
      <c r="AW79">
        <v>75661.210000000006</v>
      </c>
      <c r="AX79">
        <v>75661.210000000006</v>
      </c>
      <c r="BB79">
        <v>579742.01</v>
      </c>
      <c r="BE79">
        <v>2994.59</v>
      </c>
      <c r="BF79">
        <v>2994.59</v>
      </c>
      <c r="BG79">
        <v>4206.99</v>
      </c>
      <c r="BH79">
        <v>4206.99</v>
      </c>
      <c r="BI79">
        <v>7201.58</v>
      </c>
      <c r="BJ79">
        <v>142</v>
      </c>
      <c r="BK79">
        <v>142</v>
      </c>
      <c r="BM79">
        <v>5134.8999999999996</v>
      </c>
      <c r="BN79">
        <v>5134.8999999999996</v>
      </c>
      <c r="BO79">
        <v>5276.9</v>
      </c>
      <c r="BP79">
        <v>93</v>
      </c>
      <c r="BQ79">
        <v>93</v>
      </c>
      <c r="BR79">
        <v>4342.83</v>
      </c>
      <c r="BS79">
        <v>4342.83</v>
      </c>
      <c r="BT79">
        <v>4435.83</v>
      </c>
      <c r="BU79">
        <v>4248.1099999999997</v>
      </c>
      <c r="BV79">
        <v>4248.1099999999997</v>
      </c>
      <c r="BW79">
        <v>4248.1099999999997</v>
      </c>
      <c r="BX79">
        <v>733612.48999999987</v>
      </c>
      <c r="BY79" s="1"/>
      <c r="BZ79" s="1"/>
    </row>
    <row r="80" spans="4:78">
      <c r="D80" s="3">
        <v>42051</v>
      </c>
      <c r="E80" s="11">
        <f t="shared" si="26"/>
        <v>1072748.2799999998</v>
      </c>
      <c r="F80" s="4">
        <f t="shared" si="27"/>
        <v>472660.33999999997</v>
      </c>
      <c r="G80" s="4">
        <f t="shared" si="28"/>
        <v>0.44060694275827694</v>
      </c>
      <c r="H80" s="4">
        <f t="shared" si="39"/>
        <v>947.23</v>
      </c>
      <c r="I80" s="4">
        <f t="shared" si="40"/>
        <v>-964.66</v>
      </c>
      <c r="J80" s="4">
        <f t="shared" si="29"/>
        <v>-17.42999999999995</v>
      </c>
      <c r="K80" s="4">
        <f t="shared" si="30"/>
        <v>182973.05</v>
      </c>
      <c r="L80" s="4">
        <f t="shared" si="31"/>
        <v>182955.62</v>
      </c>
      <c r="M80" s="4">
        <f t="shared" si="32"/>
        <v>0.17054850929241297</v>
      </c>
      <c r="N80" s="4">
        <f t="shared" si="33"/>
        <v>318527.49</v>
      </c>
      <c r="O80" s="4">
        <f t="shared" si="34"/>
        <v>0.29692659120366993</v>
      </c>
      <c r="P80" s="4">
        <f t="shared" si="24"/>
        <v>791187.83</v>
      </c>
      <c r="Q80" s="4">
        <f t="shared" si="25"/>
        <v>0.73753353396194687</v>
      </c>
      <c r="R80" s="4">
        <v>74</v>
      </c>
      <c r="S80" s="4">
        <f t="shared" si="37"/>
        <v>817962.04587865667</v>
      </c>
      <c r="T80" s="4">
        <f t="shared" si="38"/>
        <v>0.76249206000000003</v>
      </c>
      <c r="U80" s="11">
        <f t="shared" si="35"/>
        <v>98604.829999999842</v>
      </c>
      <c r="V80" s="11">
        <f t="shared" si="36"/>
        <v>9.1917956745640142E-2</v>
      </c>
      <c r="X80" s="3">
        <v>42051</v>
      </c>
      <c r="AA80">
        <v>947.23</v>
      </c>
      <c r="AB80">
        <v>947.23</v>
      </c>
      <c r="AC80">
        <v>93691.13</v>
      </c>
      <c r="AD80">
        <v>93691.13</v>
      </c>
      <c r="AE80">
        <v>94638.36</v>
      </c>
      <c r="AH80">
        <v>138609.59</v>
      </c>
      <c r="AI80">
        <v>138609.59</v>
      </c>
      <c r="AL80">
        <v>173641.87</v>
      </c>
      <c r="AM80">
        <v>173641.87</v>
      </c>
      <c r="AP80">
        <v>94149.32</v>
      </c>
      <c r="AQ80">
        <v>94149.32</v>
      </c>
      <c r="AW80">
        <v>66259.56</v>
      </c>
      <c r="AX80">
        <v>66259.56</v>
      </c>
      <c r="BB80">
        <v>472660.33999999997</v>
      </c>
      <c r="BE80">
        <v>-964.66</v>
      </c>
      <c r="BF80">
        <v>-964.66</v>
      </c>
      <c r="BG80">
        <v>89281.919999999998</v>
      </c>
      <c r="BH80">
        <v>89281.919999999998</v>
      </c>
      <c r="BI80">
        <v>88317.26</v>
      </c>
      <c r="BJ80">
        <v>6416.88</v>
      </c>
      <c r="BK80">
        <v>6416.88</v>
      </c>
      <c r="BM80">
        <v>127458.09</v>
      </c>
      <c r="BN80">
        <v>127458.09</v>
      </c>
      <c r="BO80">
        <v>133874.97</v>
      </c>
      <c r="BP80">
        <v>4984.2299999999996</v>
      </c>
      <c r="BQ80">
        <v>4984.2299999999996</v>
      </c>
      <c r="BR80">
        <v>90687.41</v>
      </c>
      <c r="BS80">
        <v>90687.41</v>
      </c>
      <c r="BT80">
        <v>95671.64</v>
      </c>
      <c r="BU80">
        <v>88980.88</v>
      </c>
      <c r="BV80">
        <v>88980.88</v>
      </c>
      <c r="BW80">
        <v>88980.88</v>
      </c>
      <c r="BX80">
        <v>1072748.2799999998</v>
      </c>
      <c r="BY80" s="1"/>
      <c r="BZ80" s="1"/>
    </row>
    <row r="81" spans="4:78">
      <c r="D81" s="3">
        <v>42058</v>
      </c>
      <c r="E81" s="11">
        <f t="shared" si="26"/>
        <v>902731.35999999964</v>
      </c>
      <c r="F81" s="4">
        <f t="shared" si="27"/>
        <v>535640.5199999999</v>
      </c>
      <c r="G81" s="4">
        <f t="shared" si="28"/>
        <v>0.59335539201828558</v>
      </c>
      <c r="H81" s="4">
        <f t="shared" si="39"/>
        <v>1221.94</v>
      </c>
      <c r="I81" s="4">
        <f t="shared" si="40"/>
        <v>108.89</v>
      </c>
      <c r="J81" s="4">
        <f t="shared" si="29"/>
        <v>1330.8300000000002</v>
      </c>
      <c r="K81" s="4">
        <f t="shared" si="30"/>
        <v>96241.44</v>
      </c>
      <c r="L81" s="4">
        <f t="shared" si="31"/>
        <v>97572.27</v>
      </c>
      <c r="M81" s="4">
        <f t="shared" si="32"/>
        <v>0.10808561031933137</v>
      </c>
      <c r="N81" s="4">
        <f t="shared" si="33"/>
        <v>158025.23000000001</v>
      </c>
      <c r="O81" s="4">
        <f t="shared" si="34"/>
        <v>0.17505233229074935</v>
      </c>
      <c r="P81" s="4">
        <f t="shared" si="24"/>
        <v>693665.74999999988</v>
      </c>
      <c r="Q81" s="4">
        <f t="shared" si="25"/>
        <v>0.76840772430903492</v>
      </c>
      <c r="R81" s="4">
        <v>75</v>
      </c>
      <c r="S81" s="4">
        <f t="shared" si="37"/>
        <v>688557.66779147973</v>
      </c>
      <c r="T81" s="4">
        <f t="shared" si="38"/>
        <v>0.76274925000000005</v>
      </c>
      <c r="U81" s="11">
        <f t="shared" si="35"/>
        <v>111493.33999999973</v>
      </c>
      <c r="V81" s="11">
        <f t="shared" si="36"/>
        <v>0.12350666537163368</v>
      </c>
      <c r="X81" s="3">
        <v>42058</v>
      </c>
      <c r="AA81">
        <v>1221.94</v>
      </c>
      <c r="AB81">
        <v>1221.94</v>
      </c>
      <c r="AC81">
        <v>53170.71</v>
      </c>
      <c r="AD81">
        <v>53170.71</v>
      </c>
      <c r="AE81">
        <v>54392.65</v>
      </c>
      <c r="AH81">
        <v>169736.05</v>
      </c>
      <c r="AI81">
        <v>169736.05</v>
      </c>
      <c r="AL81">
        <v>186016.86</v>
      </c>
      <c r="AM81">
        <v>186016.86</v>
      </c>
      <c r="AP81">
        <v>105154.41</v>
      </c>
      <c r="AQ81">
        <v>105154.41</v>
      </c>
      <c r="AW81">
        <v>74733.2</v>
      </c>
      <c r="AX81">
        <v>74733.2</v>
      </c>
      <c r="BB81">
        <v>535640.5199999999</v>
      </c>
      <c r="BE81">
        <v>108.89</v>
      </c>
      <c r="BF81">
        <v>108.89</v>
      </c>
      <c r="BG81">
        <v>43070.73</v>
      </c>
      <c r="BH81">
        <v>43070.73</v>
      </c>
      <c r="BI81">
        <v>43179.62</v>
      </c>
      <c r="BJ81">
        <v>3131.88</v>
      </c>
      <c r="BK81">
        <v>3131.88</v>
      </c>
      <c r="BM81">
        <v>72912.960000000006</v>
      </c>
      <c r="BN81">
        <v>72912.960000000006</v>
      </c>
      <c r="BO81">
        <v>76044.840000000011</v>
      </c>
      <c r="BP81">
        <v>1990.71</v>
      </c>
      <c r="BQ81">
        <v>1990.71</v>
      </c>
      <c r="BR81">
        <v>40636.480000000003</v>
      </c>
      <c r="BS81">
        <v>40636.480000000003</v>
      </c>
      <c r="BT81">
        <v>42627.19</v>
      </c>
      <c r="BU81">
        <v>39353.199999999997</v>
      </c>
      <c r="BV81">
        <v>39353.199999999997</v>
      </c>
      <c r="BW81">
        <v>39353.199999999997</v>
      </c>
      <c r="BX81">
        <v>902731.35999999964</v>
      </c>
      <c r="BY81" s="1"/>
      <c r="BZ81" s="1"/>
    </row>
    <row r="82" spans="4:78">
      <c r="D82" s="3">
        <v>42065</v>
      </c>
      <c r="E82" s="11">
        <f t="shared" si="26"/>
        <v>944667.63999999978</v>
      </c>
      <c r="F82" s="4">
        <f t="shared" si="27"/>
        <v>585705.44999999995</v>
      </c>
      <c r="G82" s="4">
        <f t="shared" si="28"/>
        <v>0.62001218756683574</v>
      </c>
      <c r="H82" s="4">
        <f t="shared" si="39"/>
        <v>1293.43</v>
      </c>
      <c r="I82" s="4">
        <f t="shared" si="40"/>
        <v>500.33</v>
      </c>
      <c r="J82" s="4">
        <f t="shared" si="29"/>
        <v>1793.76</v>
      </c>
      <c r="K82" s="4">
        <f t="shared" si="30"/>
        <v>97252.98000000001</v>
      </c>
      <c r="L82" s="4">
        <f t="shared" si="31"/>
        <v>99046.74</v>
      </c>
      <c r="M82" s="4">
        <f t="shared" si="32"/>
        <v>0.10484824059390881</v>
      </c>
      <c r="N82" s="4">
        <f t="shared" si="33"/>
        <v>138073.89000000001</v>
      </c>
      <c r="O82" s="4">
        <f t="shared" si="34"/>
        <v>0.1461613419932539</v>
      </c>
      <c r="P82" s="4">
        <f t="shared" si="24"/>
        <v>723779.34</v>
      </c>
      <c r="Q82" s="4">
        <f t="shared" si="25"/>
        <v>0.76617352956008966</v>
      </c>
      <c r="R82" s="4">
        <v>76</v>
      </c>
      <c r="S82" s="4">
        <f t="shared" si="37"/>
        <v>720787.49297960149</v>
      </c>
      <c r="T82" s="4">
        <f t="shared" si="38"/>
        <v>0.76300644000000006</v>
      </c>
      <c r="U82" s="11">
        <f t="shared" si="35"/>
        <v>121841.55999999982</v>
      </c>
      <c r="V82" s="11">
        <f t="shared" si="36"/>
        <v>0.12897822984600155</v>
      </c>
      <c r="X82" s="3">
        <v>42065</v>
      </c>
      <c r="AA82">
        <v>1293.43</v>
      </c>
      <c r="AB82">
        <v>1293.43</v>
      </c>
      <c r="AC82">
        <v>55219.69</v>
      </c>
      <c r="AD82">
        <v>55219.69</v>
      </c>
      <c r="AE82">
        <v>56513.120000000003</v>
      </c>
      <c r="AH82">
        <v>150716.43</v>
      </c>
      <c r="AI82">
        <v>150716.43</v>
      </c>
      <c r="AL82">
        <v>245226.99</v>
      </c>
      <c r="AM82">
        <v>245226.99</v>
      </c>
      <c r="AP82">
        <v>111198.78</v>
      </c>
      <c r="AQ82">
        <v>111198.78</v>
      </c>
      <c r="AW82">
        <v>78563.25</v>
      </c>
      <c r="AX82">
        <v>78563.25</v>
      </c>
      <c r="BB82">
        <v>585705.44999999995</v>
      </c>
      <c r="BE82">
        <v>500.33</v>
      </c>
      <c r="BF82">
        <v>500.33</v>
      </c>
      <c r="BG82">
        <v>42033.29</v>
      </c>
      <c r="BH82">
        <v>42033.29</v>
      </c>
      <c r="BI82">
        <v>42533.62</v>
      </c>
      <c r="BJ82">
        <v>2134.46</v>
      </c>
      <c r="BK82">
        <v>2134.46</v>
      </c>
      <c r="BM82">
        <v>70093.440000000002</v>
      </c>
      <c r="BN82">
        <v>70093.440000000002</v>
      </c>
      <c r="BO82">
        <v>72227.900000000009</v>
      </c>
      <c r="BP82">
        <v>1324.38</v>
      </c>
      <c r="BQ82">
        <v>1324.38</v>
      </c>
      <c r="BR82">
        <v>32797.97</v>
      </c>
      <c r="BS82">
        <v>32797.97</v>
      </c>
      <c r="BT82">
        <v>34122.35</v>
      </c>
      <c r="BU82">
        <v>31723.64</v>
      </c>
      <c r="BV82">
        <v>31723.64</v>
      </c>
      <c r="BW82">
        <v>31723.64</v>
      </c>
      <c r="BX82">
        <v>944667.63999999978</v>
      </c>
      <c r="BY82" s="1"/>
      <c r="BZ82" s="1"/>
    </row>
    <row r="83" spans="4:78">
      <c r="D83" s="3">
        <v>42072</v>
      </c>
      <c r="E83" s="11">
        <f t="shared" si="26"/>
        <v>956349.04</v>
      </c>
      <c r="F83" s="4">
        <f t="shared" si="27"/>
        <v>617236.9</v>
      </c>
      <c r="G83" s="4">
        <f t="shared" si="28"/>
        <v>0.64540965085299817</v>
      </c>
      <c r="H83" s="4">
        <f t="shared" si="39"/>
        <v>1441.14</v>
      </c>
      <c r="I83" s="4">
        <f t="shared" si="40"/>
        <v>650.39</v>
      </c>
      <c r="J83" s="4">
        <f t="shared" si="29"/>
        <v>2091.5300000000002</v>
      </c>
      <c r="K83" s="4">
        <f t="shared" si="30"/>
        <v>89473.44</v>
      </c>
      <c r="L83" s="4">
        <f t="shared" si="31"/>
        <v>91564.97</v>
      </c>
      <c r="M83" s="4">
        <f t="shared" si="32"/>
        <v>9.5744300637348886E-2</v>
      </c>
      <c r="N83" s="4">
        <f t="shared" si="33"/>
        <v>119956.44</v>
      </c>
      <c r="O83" s="4">
        <f t="shared" si="34"/>
        <v>0.12543165202528983</v>
      </c>
      <c r="P83" s="4">
        <f t="shared" si="24"/>
        <v>737193.34000000008</v>
      </c>
      <c r="Q83" s="4">
        <f t="shared" si="25"/>
        <v>0.77084130287828811</v>
      </c>
      <c r="R83" s="4">
        <v>77</v>
      </c>
      <c r="S83" s="4">
        <f t="shared" si="37"/>
        <v>729946.4398174152</v>
      </c>
      <c r="T83" s="4">
        <f t="shared" si="38"/>
        <v>0.76326362999999997</v>
      </c>
      <c r="U83" s="11">
        <f t="shared" si="35"/>
        <v>127590.72999999998</v>
      </c>
      <c r="V83" s="11">
        <f t="shared" si="36"/>
        <v>0.13341439648436304</v>
      </c>
      <c r="X83" s="3">
        <v>42072</v>
      </c>
      <c r="AA83">
        <v>1441.14</v>
      </c>
      <c r="AB83">
        <v>1441.14</v>
      </c>
      <c r="AC83">
        <v>52024.15</v>
      </c>
      <c r="AD83">
        <v>52024.15</v>
      </c>
      <c r="AE83">
        <v>53465.29</v>
      </c>
      <c r="AH83">
        <v>160891.12</v>
      </c>
      <c r="AI83">
        <v>160891.12</v>
      </c>
      <c r="AL83">
        <v>251217.29</v>
      </c>
      <c r="AM83">
        <v>251217.29</v>
      </c>
      <c r="AP83">
        <v>120463.63</v>
      </c>
      <c r="AQ83">
        <v>120463.63</v>
      </c>
      <c r="AW83">
        <v>84664.86</v>
      </c>
      <c r="AX83">
        <v>84664.86</v>
      </c>
      <c r="BB83">
        <v>617236.9</v>
      </c>
      <c r="BE83">
        <v>650.39</v>
      </c>
      <c r="BF83">
        <v>650.39</v>
      </c>
      <c r="BG83">
        <v>37449.29</v>
      </c>
      <c r="BH83">
        <v>37449.29</v>
      </c>
      <c r="BI83">
        <v>38099.68</v>
      </c>
      <c r="BJ83">
        <v>1764.88</v>
      </c>
      <c r="BK83">
        <v>1764.88</v>
      </c>
      <c r="BM83">
        <v>65341.19</v>
      </c>
      <c r="BN83">
        <v>65341.19</v>
      </c>
      <c r="BO83">
        <v>67106.070000000007</v>
      </c>
      <c r="BP83">
        <v>904.34</v>
      </c>
      <c r="BQ83">
        <v>904.34</v>
      </c>
      <c r="BR83">
        <v>25730.57</v>
      </c>
      <c r="BS83">
        <v>25730.57</v>
      </c>
      <c r="BT83">
        <v>26634.91</v>
      </c>
      <c r="BU83">
        <v>26215.46</v>
      </c>
      <c r="BV83">
        <v>26215.46</v>
      </c>
      <c r="BW83">
        <v>26215.46</v>
      </c>
      <c r="BX83">
        <v>956349.04</v>
      </c>
      <c r="BY83" s="1"/>
      <c r="BZ83" s="1"/>
    </row>
    <row r="84" spans="4:78">
      <c r="D84" s="3">
        <v>42079</v>
      </c>
      <c r="E84" s="11">
        <f t="shared" si="26"/>
        <v>967411.26999999979</v>
      </c>
      <c r="F84" s="4">
        <f t="shared" si="27"/>
        <v>636886.25</v>
      </c>
      <c r="G84" s="4">
        <f t="shared" si="28"/>
        <v>0.65834073857750297</v>
      </c>
      <c r="H84" s="4">
        <f t="shared" si="39"/>
        <v>1259.8699999999999</v>
      </c>
      <c r="I84" s="4">
        <f t="shared" si="40"/>
        <v>502.37</v>
      </c>
      <c r="J84" s="4">
        <f t="shared" si="29"/>
        <v>1762.2399999999998</v>
      </c>
      <c r="K84" s="4">
        <f t="shared" si="30"/>
        <v>89349</v>
      </c>
      <c r="L84" s="4">
        <f t="shared" si="31"/>
        <v>91111.24</v>
      </c>
      <c r="M84" s="4">
        <f t="shared" si="32"/>
        <v>9.4180461635515189E-2</v>
      </c>
      <c r="N84" s="4">
        <f t="shared" si="33"/>
        <v>106530.43</v>
      </c>
      <c r="O84" s="4">
        <f t="shared" si="34"/>
        <v>0.11011907066164323</v>
      </c>
      <c r="P84" s="4">
        <f t="shared" si="24"/>
        <v>743416.67999999993</v>
      </c>
      <c r="Q84" s="4">
        <f t="shared" si="25"/>
        <v>0.76845980923914614</v>
      </c>
      <c r="R84" s="4">
        <v>78</v>
      </c>
      <c r="S84" s="4">
        <f t="shared" si="37"/>
        <v>738638.64614764124</v>
      </c>
      <c r="T84" s="4">
        <f t="shared" si="38"/>
        <v>0.76352081999999999</v>
      </c>
      <c r="U84" s="11">
        <f t="shared" si="35"/>
        <v>132883.34999999986</v>
      </c>
      <c r="V84" s="11">
        <f t="shared" si="36"/>
        <v>0.1373597291253387</v>
      </c>
      <c r="X84" s="3">
        <v>42079</v>
      </c>
      <c r="AA84">
        <v>1259.8699999999999</v>
      </c>
      <c r="AB84">
        <v>1259.8699999999999</v>
      </c>
      <c r="AC84">
        <v>53195.62</v>
      </c>
      <c r="AD84">
        <v>53195.62</v>
      </c>
      <c r="AE84">
        <v>54455.490000000005</v>
      </c>
      <c r="AH84">
        <v>168777.97</v>
      </c>
      <c r="AI84">
        <v>168777.97</v>
      </c>
      <c r="AL84">
        <v>257851.27</v>
      </c>
      <c r="AM84">
        <v>257851.27</v>
      </c>
      <c r="AP84">
        <v>124255.28</v>
      </c>
      <c r="AQ84">
        <v>124255.28</v>
      </c>
      <c r="AW84">
        <v>86001.73</v>
      </c>
      <c r="AX84">
        <v>86001.73</v>
      </c>
      <c r="BB84">
        <v>636886.25</v>
      </c>
      <c r="BE84">
        <v>502.37</v>
      </c>
      <c r="BF84">
        <v>502.37</v>
      </c>
      <c r="BG84">
        <v>36153.379999999997</v>
      </c>
      <c r="BH84">
        <v>36153.379999999997</v>
      </c>
      <c r="BI84">
        <v>36655.75</v>
      </c>
      <c r="BJ84">
        <v>1590.98</v>
      </c>
      <c r="BK84">
        <v>1590.98</v>
      </c>
      <c r="BM84">
        <v>62036.88</v>
      </c>
      <c r="BN84">
        <v>62036.88</v>
      </c>
      <c r="BO84">
        <v>63627.86</v>
      </c>
      <c r="BP84">
        <v>645.61</v>
      </c>
      <c r="BQ84">
        <v>645.61</v>
      </c>
      <c r="BR84">
        <v>20742.37</v>
      </c>
      <c r="BS84">
        <v>20742.37</v>
      </c>
      <c r="BT84">
        <v>21387.98</v>
      </c>
      <c r="BU84">
        <v>21514.59</v>
      </c>
      <c r="BV84">
        <v>21514.59</v>
      </c>
      <c r="BW84">
        <v>21514.59</v>
      </c>
      <c r="BX84">
        <v>967411.26999999979</v>
      </c>
      <c r="BY84" s="1"/>
      <c r="BZ84" s="1"/>
    </row>
    <row r="85" spans="4:78">
      <c r="D85" s="3">
        <v>42086</v>
      </c>
      <c r="E85" s="11">
        <f t="shared" si="26"/>
        <v>958143.22999999986</v>
      </c>
      <c r="F85" s="4">
        <f t="shared" si="27"/>
        <v>642031.5</v>
      </c>
      <c r="G85" s="4">
        <f t="shared" si="28"/>
        <v>0.67007883570810189</v>
      </c>
      <c r="H85" s="4">
        <f t="shared" si="39"/>
        <v>1290.77</v>
      </c>
      <c r="I85" s="4">
        <f t="shared" si="40"/>
        <v>535.49</v>
      </c>
      <c r="J85" s="4">
        <f t="shared" si="29"/>
        <v>1826.26</v>
      </c>
      <c r="K85" s="4">
        <f t="shared" si="30"/>
        <v>84627.41</v>
      </c>
      <c r="L85" s="4">
        <f t="shared" si="31"/>
        <v>86453.67</v>
      </c>
      <c r="M85" s="4">
        <f t="shared" si="32"/>
        <v>9.0230424108929952E-2</v>
      </c>
      <c r="N85" s="4">
        <f t="shared" si="33"/>
        <v>95190.05</v>
      </c>
      <c r="O85" s="4">
        <f t="shared" si="34"/>
        <v>9.9348455449609574E-2</v>
      </c>
      <c r="P85" s="4">
        <f t="shared" si="24"/>
        <v>737221.55</v>
      </c>
      <c r="Q85" s="4">
        <f t="shared" si="25"/>
        <v>0.76942729115771147</v>
      </c>
      <c r="R85" s="4">
        <v>79</v>
      </c>
      <c r="S85" s="4">
        <f t="shared" si="37"/>
        <v>731808.72950437223</v>
      </c>
      <c r="T85" s="4">
        <f t="shared" si="38"/>
        <v>0.76377801000000001</v>
      </c>
      <c r="U85" s="11">
        <f t="shared" si="35"/>
        <v>134468.00999999978</v>
      </c>
      <c r="V85" s="11">
        <f t="shared" si="36"/>
        <v>0.1403422847333585</v>
      </c>
      <c r="X85" s="3">
        <v>42086</v>
      </c>
      <c r="AA85">
        <v>1290.77</v>
      </c>
      <c r="AB85">
        <v>1290.77</v>
      </c>
      <c r="AC85">
        <v>49826.35</v>
      </c>
      <c r="AD85">
        <v>49826.35</v>
      </c>
      <c r="AE85">
        <v>51117.119999999995</v>
      </c>
      <c r="AH85">
        <v>169453.58</v>
      </c>
      <c r="AI85">
        <v>169453.58</v>
      </c>
      <c r="AL85">
        <v>264692.03999999998</v>
      </c>
      <c r="AM85">
        <v>264692.03999999998</v>
      </c>
      <c r="AP85">
        <v>122661.83</v>
      </c>
      <c r="AQ85">
        <v>122661.83</v>
      </c>
      <c r="AW85">
        <v>85224.05</v>
      </c>
      <c r="AX85">
        <v>85224.05</v>
      </c>
      <c r="BB85">
        <v>642031.5</v>
      </c>
      <c r="BE85">
        <v>535.49</v>
      </c>
      <c r="BF85">
        <v>535.49</v>
      </c>
      <c r="BG85">
        <v>34801.06</v>
      </c>
      <c r="BH85">
        <v>34801.06</v>
      </c>
      <c r="BI85">
        <v>35336.549999999996</v>
      </c>
      <c r="BJ85">
        <v>1361.54</v>
      </c>
      <c r="BK85">
        <v>1361.54</v>
      </c>
      <c r="BM85">
        <v>56816.72</v>
      </c>
      <c r="BN85">
        <v>56816.72</v>
      </c>
      <c r="BO85">
        <v>58178.26</v>
      </c>
      <c r="BP85">
        <v>519.72</v>
      </c>
      <c r="BQ85">
        <v>519.72</v>
      </c>
      <c r="BR85">
        <v>17659.349999999999</v>
      </c>
      <c r="BS85">
        <v>17659.349999999999</v>
      </c>
      <c r="BT85">
        <v>18179.07</v>
      </c>
      <c r="BU85">
        <v>18832.72</v>
      </c>
      <c r="BV85">
        <v>18832.72</v>
      </c>
      <c r="BW85">
        <v>18832.72</v>
      </c>
      <c r="BX85">
        <v>958143.22999999986</v>
      </c>
      <c r="BY85" s="1"/>
      <c r="BZ85" s="1"/>
    </row>
    <row r="86" spans="4:78">
      <c r="D86" s="3">
        <v>42093</v>
      </c>
      <c r="E86" s="11">
        <f t="shared" si="26"/>
        <v>971707.6399999999</v>
      </c>
      <c r="F86" s="4">
        <f t="shared" si="27"/>
        <v>661551.52</v>
      </c>
      <c r="G86" s="4">
        <f t="shared" si="28"/>
        <v>0.6808133359947649</v>
      </c>
      <c r="H86" s="4">
        <f t="shared" si="39"/>
        <v>1516.51</v>
      </c>
      <c r="I86" s="4">
        <f t="shared" si="40"/>
        <v>847.22</v>
      </c>
      <c r="J86" s="4">
        <f t="shared" si="29"/>
        <v>2363.73</v>
      </c>
      <c r="K86" s="4">
        <f t="shared" si="30"/>
        <v>81363.41</v>
      </c>
      <c r="L86" s="4">
        <f t="shared" si="31"/>
        <v>83727.14</v>
      </c>
      <c r="M86" s="4">
        <f t="shared" si="32"/>
        <v>8.6164949778515701E-2</v>
      </c>
      <c r="N86" s="4">
        <f t="shared" si="33"/>
        <v>86558.319999999992</v>
      </c>
      <c r="O86" s="4">
        <f t="shared" si="34"/>
        <v>8.9078562766059965E-2</v>
      </c>
      <c r="P86" s="4">
        <f t="shared" si="24"/>
        <v>748109.84</v>
      </c>
      <c r="Q86" s="4">
        <f t="shared" si="25"/>
        <v>0.76989189876082487</v>
      </c>
      <c r="R86" s="4">
        <v>80</v>
      </c>
      <c r="S86" s="4">
        <f t="shared" si="37"/>
        <v>742418.8410689279</v>
      </c>
      <c r="T86" s="4">
        <f t="shared" si="38"/>
        <v>0.76403520000000003</v>
      </c>
      <c r="U86" s="11">
        <f t="shared" si="35"/>
        <v>139870.65999999992</v>
      </c>
      <c r="V86" s="11">
        <f t="shared" si="36"/>
        <v>0.14394315146065945</v>
      </c>
      <c r="X86" s="3">
        <v>42093</v>
      </c>
      <c r="AA86">
        <v>1516.51</v>
      </c>
      <c r="AB86">
        <v>1516.51</v>
      </c>
      <c r="AC86">
        <v>48777.59</v>
      </c>
      <c r="AD86">
        <v>48777.59</v>
      </c>
      <c r="AE86">
        <v>50294.1</v>
      </c>
      <c r="AH86">
        <v>191510.59</v>
      </c>
      <c r="AI86">
        <v>191510.59</v>
      </c>
      <c r="AL86">
        <v>269971.28999999998</v>
      </c>
      <c r="AM86">
        <v>269971.28999999998</v>
      </c>
      <c r="AP86">
        <v>119426.27</v>
      </c>
      <c r="AQ86">
        <v>119426.27</v>
      </c>
      <c r="AW86">
        <v>80643.37</v>
      </c>
      <c r="AX86">
        <v>80643.37</v>
      </c>
      <c r="BB86">
        <v>661551.52</v>
      </c>
      <c r="BE86">
        <v>847.22</v>
      </c>
      <c r="BF86">
        <v>847.22</v>
      </c>
      <c r="BG86">
        <v>32585.82</v>
      </c>
      <c r="BH86">
        <v>32585.82</v>
      </c>
      <c r="BI86">
        <v>33433.040000000001</v>
      </c>
      <c r="BJ86">
        <v>1245.46</v>
      </c>
      <c r="BK86">
        <v>1245.46</v>
      </c>
      <c r="BM86">
        <v>52789</v>
      </c>
      <c r="BN86">
        <v>52789</v>
      </c>
      <c r="BO86">
        <v>54034.46</v>
      </c>
      <c r="BP86">
        <v>458.51</v>
      </c>
      <c r="BQ86">
        <v>458.51</v>
      </c>
      <c r="BR86">
        <v>15742.93</v>
      </c>
      <c r="BS86">
        <v>15742.93</v>
      </c>
      <c r="BT86">
        <v>16201.44</v>
      </c>
      <c r="BU86">
        <v>16322.42</v>
      </c>
      <c r="BV86">
        <v>16322.42</v>
      </c>
      <c r="BW86">
        <v>16322.42</v>
      </c>
      <c r="BX86">
        <v>971707.6399999999</v>
      </c>
      <c r="BY86" s="1"/>
      <c r="BZ86" s="1"/>
    </row>
    <row r="87" spans="4:78">
      <c r="D87" s="3">
        <v>42100</v>
      </c>
      <c r="E87" s="11">
        <f t="shared" si="26"/>
        <v>987903.88</v>
      </c>
      <c r="F87" s="4">
        <f t="shared" si="27"/>
        <v>678374.78</v>
      </c>
      <c r="G87" s="4">
        <f t="shared" si="28"/>
        <v>0.68668095523625239</v>
      </c>
      <c r="H87" s="4">
        <f t="shared" si="39"/>
        <v>1374.14</v>
      </c>
      <c r="I87" s="4">
        <f t="shared" si="40"/>
        <v>749.83</v>
      </c>
      <c r="J87" s="4">
        <f t="shared" si="29"/>
        <v>2123.9700000000003</v>
      </c>
      <c r="K87" s="4">
        <f t="shared" si="30"/>
        <v>81114.38</v>
      </c>
      <c r="L87" s="4">
        <f t="shared" si="31"/>
        <v>83238.350000000006</v>
      </c>
      <c r="M87" s="4">
        <f t="shared" si="32"/>
        <v>8.4257539306354379E-2</v>
      </c>
      <c r="N87" s="4">
        <f t="shared" si="33"/>
        <v>85177.229999999981</v>
      </c>
      <c r="O87" s="4">
        <f t="shared" si="34"/>
        <v>8.6220159394454432E-2</v>
      </c>
      <c r="P87" s="4">
        <f t="shared" si="24"/>
        <v>763552.01</v>
      </c>
      <c r="Q87" s="4">
        <f t="shared" si="25"/>
        <v>0.77290111463070676</v>
      </c>
      <c r="R87" s="4">
        <v>81</v>
      </c>
      <c r="S87" s="4">
        <f t="shared" si="37"/>
        <v>755047.41753547324</v>
      </c>
      <c r="T87" s="4">
        <f t="shared" si="38"/>
        <v>0.76429239000000004</v>
      </c>
      <c r="U87" s="11">
        <f t="shared" si="35"/>
        <v>141113.52000000002</v>
      </c>
      <c r="V87" s="11">
        <f t="shared" si="36"/>
        <v>0.14284134606293886</v>
      </c>
      <c r="X87" s="3">
        <v>42100</v>
      </c>
      <c r="AA87">
        <v>1374.14</v>
      </c>
      <c r="AB87">
        <v>1374.14</v>
      </c>
      <c r="AC87">
        <v>48463.96</v>
      </c>
      <c r="AD87">
        <v>48463.96</v>
      </c>
      <c r="AE87">
        <v>49838.1</v>
      </c>
      <c r="AH87">
        <v>205136.04</v>
      </c>
      <c r="AI87">
        <v>205136.04</v>
      </c>
      <c r="AL87">
        <v>268243.44</v>
      </c>
      <c r="AM87">
        <v>268243.44</v>
      </c>
      <c r="AP87">
        <v>121536.54</v>
      </c>
      <c r="AQ87">
        <v>121536.54</v>
      </c>
      <c r="AW87">
        <v>83458.759999999995</v>
      </c>
      <c r="AX87">
        <v>83458.759999999995</v>
      </c>
      <c r="BB87">
        <v>678374.78</v>
      </c>
      <c r="BE87">
        <v>749.83</v>
      </c>
      <c r="BF87">
        <v>749.83</v>
      </c>
      <c r="BG87">
        <v>32650.42</v>
      </c>
      <c r="BH87">
        <v>32650.42</v>
      </c>
      <c r="BI87">
        <v>33400.25</v>
      </c>
      <c r="BJ87">
        <v>1267.02</v>
      </c>
      <c r="BK87">
        <v>1267.02</v>
      </c>
      <c r="BM87">
        <v>52630.14</v>
      </c>
      <c r="BN87">
        <v>52630.14</v>
      </c>
      <c r="BO87">
        <v>53897.159999999996</v>
      </c>
      <c r="BP87">
        <v>432.99</v>
      </c>
      <c r="BQ87">
        <v>432.99</v>
      </c>
      <c r="BR87">
        <v>14863.4</v>
      </c>
      <c r="BS87">
        <v>14863.4</v>
      </c>
      <c r="BT87">
        <v>15296.39</v>
      </c>
      <c r="BU87">
        <v>15983.68</v>
      </c>
      <c r="BV87">
        <v>15983.68</v>
      </c>
      <c r="BW87">
        <v>15983.68</v>
      </c>
      <c r="BX87">
        <v>987903.88</v>
      </c>
      <c r="BY87" s="1"/>
      <c r="BZ87" s="1"/>
    </row>
    <row r="88" spans="4:78">
      <c r="D88" s="3">
        <v>42107</v>
      </c>
      <c r="E88" s="11">
        <f t="shared" si="26"/>
        <v>971046.36999999988</v>
      </c>
      <c r="F88" s="4">
        <f t="shared" si="27"/>
        <v>664996.44000000006</v>
      </c>
      <c r="G88" s="4">
        <f t="shared" si="28"/>
        <v>0.68482459802614792</v>
      </c>
      <c r="H88" s="4">
        <f t="shared" si="39"/>
        <v>1218.05</v>
      </c>
      <c r="I88" s="4">
        <f t="shared" si="40"/>
        <v>691</v>
      </c>
      <c r="J88" s="4">
        <f t="shared" si="29"/>
        <v>1909.05</v>
      </c>
      <c r="K88" s="4">
        <f t="shared" si="30"/>
        <v>82536.95</v>
      </c>
      <c r="L88" s="4">
        <f t="shared" si="31"/>
        <v>84446</v>
      </c>
      <c r="M88" s="4">
        <f t="shared" si="32"/>
        <v>8.69639211977076E-2</v>
      </c>
      <c r="N88" s="4">
        <f t="shared" si="33"/>
        <v>81144.819999999992</v>
      </c>
      <c r="O88" s="4">
        <f t="shared" si="34"/>
        <v>8.356431011631299E-2</v>
      </c>
      <c r="P88" s="4">
        <f t="shared" si="24"/>
        <v>746141.26</v>
      </c>
      <c r="Q88" s="4">
        <f t="shared" si="25"/>
        <v>0.76838890814246086</v>
      </c>
      <c r="R88" s="4">
        <v>82</v>
      </c>
      <c r="S88" s="4">
        <f t="shared" si="37"/>
        <v>742413.09434402455</v>
      </c>
      <c r="T88" s="4">
        <f t="shared" si="38"/>
        <v>0.76454958000000006</v>
      </c>
      <c r="U88" s="11">
        <f t="shared" si="35"/>
        <v>140459.10999999987</v>
      </c>
      <c r="V88" s="11">
        <f t="shared" si="36"/>
        <v>0.14464717065983151</v>
      </c>
      <c r="X88" s="3">
        <v>42107</v>
      </c>
      <c r="AA88">
        <v>1218.05</v>
      </c>
      <c r="AB88">
        <v>1218.05</v>
      </c>
      <c r="AC88">
        <v>49942.45</v>
      </c>
      <c r="AD88">
        <v>49942.45</v>
      </c>
      <c r="AE88">
        <v>51160.5</v>
      </c>
      <c r="AH88">
        <v>198264.38</v>
      </c>
      <c r="AI88">
        <v>198264.38</v>
      </c>
      <c r="AL88">
        <v>257521.56</v>
      </c>
      <c r="AM88">
        <v>257521.56</v>
      </c>
      <c r="AP88">
        <v>123878.6</v>
      </c>
      <c r="AQ88">
        <v>123878.6</v>
      </c>
      <c r="AW88">
        <v>85331.9</v>
      </c>
      <c r="AX88">
        <v>85331.9</v>
      </c>
      <c r="BB88">
        <v>664996.44000000006</v>
      </c>
      <c r="BE88">
        <v>691</v>
      </c>
      <c r="BF88">
        <v>691</v>
      </c>
      <c r="BG88">
        <v>32594.5</v>
      </c>
      <c r="BH88">
        <v>32594.5</v>
      </c>
      <c r="BI88">
        <v>33285.5</v>
      </c>
      <c r="BJ88">
        <v>1144.57</v>
      </c>
      <c r="BK88">
        <v>1144.57</v>
      </c>
      <c r="BM88">
        <v>51142.79</v>
      </c>
      <c r="BN88">
        <v>51142.79</v>
      </c>
      <c r="BO88">
        <v>52287.360000000001</v>
      </c>
      <c r="BP88">
        <v>305.27</v>
      </c>
      <c r="BQ88">
        <v>305.27</v>
      </c>
      <c r="BR88">
        <v>13879.32</v>
      </c>
      <c r="BS88">
        <v>13879.32</v>
      </c>
      <c r="BT88">
        <v>14184.59</v>
      </c>
      <c r="BU88">
        <v>14672.87</v>
      </c>
      <c r="BV88">
        <v>14672.87</v>
      </c>
      <c r="BW88">
        <v>14672.87</v>
      </c>
      <c r="BX88">
        <v>971046.36999999988</v>
      </c>
      <c r="BY88" s="1"/>
      <c r="BZ88" s="1"/>
    </row>
    <row r="89" spans="4:78">
      <c r="D89" s="3">
        <v>42114</v>
      </c>
      <c r="E89" s="11">
        <f t="shared" si="26"/>
        <v>960471.37</v>
      </c>
      <c r="F89" s="4">
        <f t="shared" si="27"/>
        <v>664044.29</v>
      </c>
      <c r="G89" s="4">
        <f t="shared" si="28"/>
        <v>0.69137333057621497</v>
      </c>
      <c r="H89" s="4">
        <f t="shared" si="39"/>
        <v>1311.98</v>
      </c>
      <c r="I89" s="4">
        <f t="shared" si="40"/>
        <v>763.51</v>
      </c>
      <c r="J89" s="4">
        <f t="shared" si="29"/>
        <v>2075.4899999999998</v>
      </c>
      <c r="K89" s="4">
        <f t="shared" si="30"/>
        <v>78297.09</v>
      </c>
      <c r="L89" s="4">
        <f t="shared" si="31"/>
        <v>80372.58</v>
      </c>
      <c r="M89" s="4">
        <f t="shared" si="32"/>
        <v>8.3680349576687546E-2</v>
      </c>
      <c r="N89" s="4">
        <f t="shared" si="33"/>
        <v>75365.279999999999</v>
      </c>
      <c r="O89" s="4">
        <f t="shared" si="34"/>
        <v>7.846697189943308E-2</v>
      </c>
      <c r="P89" s="4">
        <f t="shared" si="24"/>
        <v>739409.57000000007</v>
      </c>
      <c r="Q89" s="4">
        <f t="shared" si="25"/>
        <v>0.76984030247564805</v>
      </c>
      <c r="R89" s="4">
        <v>83</v>
      </c>
      <c r="S89" s="4">
        <f t="shared" si="37"/>
        <v>734575.0061671749</v>
      </c>
      <c r="T89" s="4">
        <f t="shared" si="38"/>
        <v>0.76480676999999997</v>
      </c>
      <c r="U89" s="11">
        <f t="shared" si="35"/>
        <v>140689.21999999997</v>
      </c>
      <c r="V89" s="11">
        <f t="shared" si="36"/>
        <v>0.14647934794766446</v>
      </c>
      <c r="X89" s="3">
        <v>42114</v>
      </c>
      <c r="AA89">
        <v>1311.98</v>
      </c>
      <c r="AB89">
        <v>1311.98</v>
      </c>
      <c r="AC89">
        <v>47739.4</v>
      </c>
      <c r="AD89">
        <v>47739.4</v>
      </c>
      <c r="AE89">
        <v>49051.380000000005</v>
      </c>
      <c r="AH89">
        <v>201045.41</v>
      </c>
      <c r="AI89">
        <v>201045.41</v>
      </c>
      <c r="AL89">
        <v>255640.53</v>
      </c>
      <c r="AM89">
        <v>255640.53</v>
      </c>
      <c r="AP89">
        <v>122986.19</v>
      </c>
      <c r="AQ89">
        <v>122986.19</v>
      </c>
      <c r="AW89">
        <v>84372.160000000003</v>
      </c>
      <c r="AX89">
        <v>84372.160000000003</v>
      </c>
      <c r="BB89">
        <v>664044.29</v>
      </c>
      <c r="BE89">
        <v>763.51</v>
      </c>
      <c r="BF89">
        <v>763.51</v>
      </c>
      <c r="BG89">
        <v>30557.69</v>
      </c>
      <c r="BH89">
        <v>30557.69</v>
      </c>
      <c r="BI89">
        <v>31321.199999999997</v>
      </c>
      <c r="BJ89">
        <v>1082.5</v>
      </c>
      <c r="BK89">
        <v>1082.5</v>
      </c>
      <c r="BM89">
        <v>48298.29</v>
      </c>
      <c r="BN89">
        <v>48298.29</v>
      </c>
      <c r="BO89">
        <v>49380.79</v>
      </c>
      <c r="BP89">
        <v>271.82</v>
      </c>
      <c r="BQ89">
        <v>271.82</v>
      </c>
      <c r="BR89">
        <v>12593.27</v>
      </c>
      <c r="BS89">
        <v>12593.27</v>
      </c>
      <c r="BT89">
        <v>12865.09</v>
      </c>
      <c r="BU89">
        <v>13119.4</v>
      </c>
      <c r="BV89">
        <v>13119.4</v>
      </c>
      <c r="BW89">
        <v>13119.4</v>
      </c>
      <c r="BX89">
        <v>960471.37</v>
      </c>
      <c r="BY89" s="1"/>
      <c r="BZ89" s="1"/>
    </row>
    <row r="90" spans="4:78">
      <c r="D90" s="3">
        <v>42121</v>
      </c>
      <c r="E90" s="11">
        <f t="shared" si="26"/>
        <v>963106.12000000011</v>
      </c>
      <c r="F90" s="4">
        <f t="shared" si="27"/>
        <v>668747.68000000005</v>
      </c>
      <c r="G90" s="4">
        <f t="shared" si="28"/>
        <v>0.69436551810095437</v>
      </c>
      <c r="H90" s="4">
        <f t="shared" si="39"/>
        <v>1375.93</v>
      </c>
      <c r="I90" s="4">
        <f t="shared" si="40"/>
        <v>717.77</v>
      </c>
      <c r="J90" s="4">
        <f t="shared" si="29"/>
        <v>2093.6999999999998</v>
      </c>
      <c r="K90" s="4">
        <f t="shared" si="30"/>
        <v>77114.37</v>
      </c>
      <c r="L90" s="4">
        <f t="shared" si="31"/>
        <v>79208.069999999992</v>
      </c>
      <c r="M90" s="4">
        <f t="shared" si="32"/>
        <v>8.2242307836233028E-2</v>
      </c>
      <c r="N90" s="4">
        <f t="shared" si="33"/>
        <v>74796.62</v>
      </c>
      <c r="O90" s="4">
        <f t="shared" si="34"/>
        <v>7.766186762472238E-2</v>
      </c>
      <c r="P90" s="4">
        <f t="shared" si="24"/>
        <v>743544.3</v>
      </c>
      <c r="Q90" s="4">
        <f t="shared" si="25"/>
        <v>0.77202738572567675</v>
      </c>
      <c r="R90" s="4">
        <v>84</v>
      </c>
      <c r="S90" s="4">
        <f t="shared" si="37"/>
        <v>736837.78206743533</v>
      </c>
      <c r="T90" s="4">
        <f t="shared" si="38"/>
        <v>0.76506395999999999</v>
      </c>
      <c r="U90" s="11">
        <f t="shared" si="35"/>
        <v>140353.75000000012</v>
      </c>
      <c r="V90" s="11">
        <f t="shared" si="36"/>
        <v>0.14573030643809023</v>
      </c>
      <c r="X90" s="3">
        <v>42121</v>
      </c>
      <c r="AA90">
        <v>1375.93</v>
      </c>
      <c r="AB90">
        <v>1375.93</v>
      </c>
      <c r="AC90">
        <v>46777.279999999999</v>
      </c>
      <c r="AD90">
        <v>46777.279999999999</v>
      </c>
      <c r="AE90">
        <v>48153.21</v>
      </c>
      <c r="AH90">
        <v>208639.81</v>
      </c>
      <c r="AI90">
        <v>208639.81</v>
      </c>
      <c r="AL90">
        <v>258819.49</v>
      </c>
      <c r="AM90">
        <v>258819.49</v>
      </c>
      <c r="AP90">
        <v>119717.74</v>
      </c>
      <c r="AQ90">
        <v>119717.74</v>
      </c>
      <c r="AW90">
        <v>81570.64</v>
      </c>
      <c r="AX90">
        <v>81570.64</v>
      </c>
      <c r="BB90">
        <v>668747.68000000005</v>
      </c>
      <c r="BE90">
        <v>717.77</v>
      </c>
      <c r="BF90">
        <v>717.77</v>
      </c>
      <c r="BG90">
        <v>30337.09</v>
      </c>
      <c r="BH90">
        <v>30337.09</v>
      </c>
      <c r="BI90">
        <v>31054.86</v>
      </c>
      <c r="BJ90">
        <v>1174.1500000000001</v>
      </c>
      <c r="BK90">
        <v>1174.1500000000001</v>
      </c>
      <c r="BM90">
        <v>48566.19</v>
      </c>
      <c r="BN90">
        <v>48566.19</v>
      </c>
      <c r="BO90">
        <v>49740.340000000004</v>
      </c>
      <c r="BP90">
        <v>279.98</v>
      </c>
      <c r="BQ90">
        <v>279.98</v>
      </c>
      <c r="BR90">
        <v>12067.01</v>
      </c>
      <c r="BS90">
        <v>12067.01</v>
      </c>
      <c r="BT90">
        <v>12346.99</v>
      </c>
      <c r="BU90">
        <v>12709.29</v>
      </c>
      <c r="BV90">
        <v>12709.29</v>
      </c>
      <c r="BW90">
        <v>12709.29</v>
      </c>
      <c r="BX90">
        <v>963106.12000000011</v>
      </c>
      <c r="BY90" s="1"/>
      <c r="BZ90" s="1"/>
    </row>
    <row r="91" spans="4:78">
      <c r="D91" s="3">
        <v>42128</v>
      </c>
      <c r="E91" s="11">
        <f t="shared" si="26"/>
        <v>1003037.5499999999</v>
      </c>
      <c r="F91" s="4">
        <f t="shared" si="27"/>
        <v>692886.71</v>
      </c>
      <c r="G91" s="4">
        <f t="shared" si="28"/>
        <v>0.69078840567833177</v>
      </c>
      <c r="H91" s="4">
        <f t="shared" si="39"/>
        <v>1410.73</v>
      </c>
      <c r="I91" s="4">
        <f t="shared" si="40"/>
        <v>865.51</v>
      </c>
      <c r="J91" s="4">
        <f t="shared" si="29"/>
        <v>2276.2399999999998</v>
      </c>
      <c r="K91" s="4">
        <f t="shared" si="30"/>
        <v>81315.759999999995</v>
      </c>
      <c r="L91" s="4">
        <f t="shared" si="31"/>
        <v>83592</v>
      </c>
      <c r="M91" s="4">
        <f t="shared" si="32"/>
        <v>8.3338854063838397E-2</v>
      </c>
      <c r="N91" s="4">
        <f t="shared" si="33"/>
        <v>75837.399999999994</v>
      </c>
      <c r="O91" s="4">
        <f t="shared" si="34"/>
        <v>7.5607737716299847E-2</v>
      </c>
      <c r="P91" s="4">
        <f t="shared" si="24"/>
        <v>768724.11</v>
      </c>
      <c r="Q91" s="4">
        <f t="shared" si="25"/>
        <v>0.76639614339463169</v>
      </c>
      <c r="R91" s="4">
        <v>85</v>
      </c>
      <c r="S91" s="4">
        <f t="shared" si="37"/>
        <v>767645.85125918244</v>
      </c>
      <c r="T91" s="4">
        <f t="shared" si="38"/>
        <v>0.76532115000000001</v>
      </c>
      <c r="U91" s="11">
        <f t="shared" si="35"/>
        <v>150721.43999999994</v>
      </c>
      <c r="V91" s="11">
        <f t="shared" si="36"/>
        <v>0.15026500254152994</v>
      </c>
      <c r="X91" s="3">
        <v>42128</v>
      </c>
      <c r="AA91">
        <v>1410.73</v>
      </c>
      <c r="AB91">
        <v>1410.73</v>
      </c>
      <c r="AC91">
        <v>49501.07</v>
      </c>
      <c r="AD91">
        <v>49501.07</v>
      </c>
      <c r="AE91">
        <v>50911.8</v>
      </c>
      <c r="AH91">
        <v>210302.19</v>
      </c>
      <c r="AI91">
        <v>210302.19</v>
      </c>
      <c r="AL91">
        <v>257821.37</v>
      </c>
      <c r="AM91">
        <v>257821.37</v>
      </c>
      <c r="AP91">
        <v>137326.62</v>
      </c>
      <c r="AQ91">
        <v>137326.62</v>
      </c>
      <c r="AW91">
        <v>87436.53</v>
      </c>
      <c r="AX91">
        <v>87436.53</v>
      </c>
      <c r="BB91">
        <v>692886.71</v>
      </c>
      <c r="BE91">
        <v>865.51</v>
      </c>
      <c r="BF91">
        <v>865.51</v>
      </c>
      <c r="BG91">
        <v>31814.69</v>
      </c>
      <c r="BH91">
        <v>31814.69</v>
      </c>
      <c r="BI91">
        <v>32680.199999999997</v>
      </c>
      <c r="BJ91">
        <v>1251.3800000000001</v>
      </c>
      <c r="BK91">
        <v>1251.3800000000001</v>
      </c>
      <c r="BM91">
        <v>49621.36</v>
      </c>
      <c r="BN91">
        <v>49621.36</v>
      </c>
      <c r="BO91">
        <v>50872.74</v>
      </c>
      <c r="BP91">
        <v>275.27999999999997</v>
      </c>
      <c r="BQ91">
        <v>275.27999999999997</v>
      </c>
      <c r="BR91">
        <v>12089.59</v>
      </c>
      <c r="BS91">
        <v>12089.59</v>
      </c>
      <c r="BT91">
        <v>12364.87</v>
      </c>
      <c r="BU91">
        <v>12599.79</v>
      </c>
      <c r="BV91">
        <v>12599.79</v>
      </c>
      <c r="BW91">
        <v>12599.79</v>
      </c>
      <c r="BX91">
        <v>1003037.5499999999</v>
      </c>
      <c r="BY91" s="1"/>
      <c r="BZ91" s="1"/>
    </row>
    <row r="92" spans="4:78">
      <c r="D92" s="3">
        <v>42135</v>
      </c>
      <c r="E92" s="11">
        <f t="shared" si="26"/>
        <v>999364.22000000009</v>
      </c>
      <c r="F92" s="4">
        <f t="shared" si="27"/>
        <v>689709.42</v>
      </c>
      <c r="G92" s="4">
        <f t="shared" si="28"/>
        <v>0.69014820242413721</v>
      </c>
      <c r="H92" s="4">
        <f t="shared" si="39"/>
        <v>1664.43</v>
      </c>
      <c r="I92" s="4">
        <f t="shared" si="40"/>
        <v>1027.54</v>
      </c>
      <c r="J92" s="4">
        <f t="shared" si="29"/>
        <v>2691.9700000000003</v>
      </c>
      <c r="K92" s="4">
        <f t="shared" si="30"/>
        <v>81123.08</v>
      </c>
      <c r="L92" s="4">
        <f t="shared" si="31"/>
        <v>83815.05</v>
      </c>
      <c r="M92" s="4">
        <f t="shared" si="32"/>
        <v>8.3868371833444269E-2</v>
      </c>
      <c r="N92" s="4">
        <f t="shared" si="33"/>
        <v>74616.13</v>
      </c>
      <c r="O92" s="4">
        <f t="shared" si="34"/>
        <v>7.4663599623368548E-2</v>
      </c>
      <c r="P92" s="4">
        <f t="shared" si="24"/>
        <v>764325.55</v>
      </c>
      <c r="Q92" s="4">
        <f t="shared" si="25"/>
        <v>0.76481180204750576</v>
      </c>
      <c r="R92" s="4">
        <v>86</v>
      </c>
      <c r="S92" s="4">
        <f t="shared" si="37"/>
        <v>765091.60060299491</v>
      </c>
      <c r="T92" s="4">
        <f t="shared" si="38"/>
        <v>0.76557834000000002</v>
      </c>
      <c r="U92" s="11">
        <f t="shared" si="35"/>
        <v>151223.62</v>
      </c>
      <c r="V92" s="11">
        <f t="shared" si="36"/>
        <v>0.15131982611904995</v>
      </c>
      <c r="X92" s="3">
        <v>42135</v>
      </c>
      <c r="AA92">
        <v>1664.43</v>
      </c>
      <c r="AB92">
        <v>1664.43</v>
      </c>
      <c r="AC92">
        <v>49109.71</v>
      </c>
      <c r="AD92">
        <v>49109.71</v>
      </c>
      <c r="AE92">
        <v>50774.14</v>
      </c>
      <c r="AH92">
        <v>211743.15</v>
      </c>
      <c r="AI92">
        <v>211743.15</v>
      </c>
      <c r="AL92">
        <v>251209.74</v>
      </c>
      <c r="AM92">
        <v>251209.74</v>
      </c>
      <c r="AP92">
        <v>139504.69</v>
      </c>
      <c r="AQ92">
        <v>139504.69</v>
      </c>
      <c r="AW92">
        <v>87251.839999999997</v>
      </c>
      <c r="AX92">
        <v>87251.839999999997</v>
      </c>
      <c r="BB92">
        <v>689709.42</v>
      </c>
      <c r="BE92">
        <v>1027.54</v>
      </c>
      <c r="BF92">
        <v>1027.54</v>
      </c>
      <c r="BG92">
        <v>32013.37</v>
      </c>
      <c r="BH92">
        <v>32013.37</v>
      </c>
      <c r="BI92">
        <v>33040.909999999996</v>
      </c>
      <c r="BJ92">
        <v>1663.92</v>
      </c>
      <c r="BK92">
        <v>1663.92</v>
      </c>
      <c r="BM92">
        <v>48318.01</v>
      </c>
      <c r="BN92">
        <v>48318.01</v>
      </c>
      <c r="BO92">
        <v>49981.93</v>
      </c>
      <c r="BP92">
        <v>367.58</v>
      </c>
      <c r="BQ92">
        <v>367.58</v>
      </c>
      <c r="BR92">
        <v>11980.62</v>
      </c>
      <c r="BS92">
        <v>11980.62</v>
      </c>
      <c r="BT92">
        <v>12348.2</v>
      </c>
      <c r="BU92">
        <v>12286</v>
      </c>
      <c r="BV92">
        <v>12286</v>
      </c>
      <c r="BW92">
        <v>12286</v>
      </c>
      <c r="BX92">
        <v>999364.22000000009</v>
      </c>
      <c r="BY92" s="1"/>
      <c r="BZ92" s="1"/>
    </row>
    <row r="93" spans="4:78">
      <c r="D93" s="3">
        <v>42142</v>
      </c>
      <c r="E93" s="11">
        <f t="shared" si="26"/>
        <v>1105892.9600000002</v>
      </c>
      <c r="F93" s="4">
        <f t="shared" si="27"/>
        <v>770374.21000000008</v>
      </c>
      <c r="G93" s="4">
        <f t="shared" si="28"/>
        <v>0.69660829561660287</v>
      </c>
      <c r="H93" s="4">
        <f t="shared" si="39"/>
        <v>1437.18</v>
      </c>
      <c r="I93" s="4">
        <f t="shared" si="40"/>
        <v>825.86</v>
      </c>
      <c r="J93" s="4">
        <f t="shared" si="29"/>
        <v>2263.04</v>
      </c>
      <c r="K93" s="4">
        <f t="shared" si="30"/>
        <v>87475.85</v>
      </c>
      <c r="L93" s="4">
        <f t="shared" si="31"/>
        <v>89738.89</v>
      </c>
      <c r="M93" s="4">
        <f t="shared" si="32"/>
        <v>8.114609030515936E-2</v>
      </c>
      <c r="N93" s="4">
        <f t="shared" si="33"/>
        <v>79448.760000000009</v>
      </c>
      <c r="O93" s="4">
        <f t="shared" si="34"/>
        <v>7.1841274764964588E-2</v>
      </c>
      <c r="P93" s="4">
        <f t="shared" si="24"/>
        <v>849822.97000000009</v>
      </c>
      <c r="Q93" s="4">
        <f t="shared" si="25"/>
        <v>0.76844957038156747</v>
      </c>
      <c r="R93" s="4">
        <v>87</v>
      </c>
      <c r="S93" s="4">
        <f t="shared" si="37"/>
        <v>846932.12114486902</v>
      </c>
      <c r="T93" s="4">
        <f t="shared" si="38"/>
        <v>0.76583553000000004</v>
      </c>
      <c r="U93" s="11">
        <f t="shared" si="35"/>
        <v>166331.10000000009</v>
      </c>
      <c r="V93" s="11">
        <f t="shared" si="36"/>
        <v>0.15040433931327321</v>
      </c>
      <c r="X93" s="3">
        <v>42142</v>
      </c>
      <c r="AA93">
        <v>1437.18</v>
      </c>
      <c r="AB93">
        <v>1437.18</v>
      </c>
      <c r="AC93">
        <v>52903.27</v>
      </c>
      <c r="AD93">
        <v>52903.27</v>
      </c>
      <c r="AE93">
        <v>54340.45</v>
      </c>
      <c r="AH93">
        <v>230897.22</v>
      </c>
      <c r="AI93">
        <v>230897.22</v>
      </c>
      <c r="AL93">
        <v>283688.08</v>
      </c>
      <c r="AM93">
        <v>283688.08</v>
      </c>
      <c r="AP93">
        <v>159804.60999999999</v>
      </c>
      <c r="AQ93">
        <v>159804.60999999999</v>
      </c>
      <c r="AW93">
        <v>95984.3</v>
      </c>
      <c r="AX93">
        <v>95984.3</v>
      </c>
      <c r="BB93">
        <v>770374.21000000008</v>
      </c>
      <c r="BE93">
        <v>825.86</v>
      </c>
      <c r="BF93">
        <v>825.86</v>
      </c>
      <c r="BG93">
        <v>34572.58</v>
      </c>
      <c r="BH93">
        <v>34572.58</v>
      </c>
      <c r="BI93">
        <v>35398.44</v>
      </c>
      <c r="BJ93">
        <v>1268.25</v>
      </c>
      <c r="BK93">
        <v>1268.25</v>
      </c>
      <c r="BM93">
        <v>52972.58</v>
      </c>
      <c r="BN93">
        <v>52972.58</v>
      </c>
      <c r="BO93">
        <v>54240.83</v>
      </c>
      <c r="BP93">
        <v>317.48</v>
      </c>
      <c r="BQ93">
        <v>317.48</v>
      </c>
      <c r="BR93">
        <v>12270.37</v>
      </c>
      <c r="BS93">
        <v>12270.37</v>
      </c>
      <c r="BT93">
        <v>12587.85</v>
      </c>
      <c r="BU93">
        <v>12620.08</v>
      </c>
      <c r="BV93">
        <v>12620.08</v>
      </c>
      <c r="BW93">
        <v>12620.08</v>
      </c>
      <c r="BX93">
        <v>1105892.9600000002</v>
      </c>
      <c r="BY93" s="1"/>
      <c r="BZ93" s="1"/>
    </row>
    <row r="94" spans="4:78">
      <c r="D94" s="3">
        <v>42149</v>
      </c>
      <c r="E94" s="11">
        <f t="shared" si="26"/>
        <v>868242.8899999999</v>
      </c>
      <c r="F94" s="4">
        <f t="shared" si="27"/>
        <v>608975.55000000005</v>
      </c>
      <c r="G94" s="4">
        <f t="shared" si="28"/>
        <v>0.70138846745983729</v>
      </c>
      <c r="H94" s="4">
        <f t="shared" si="39"/>
        <v>1312.07</v>
      </c>
      <c r="I94" s="4">
        <f t="shared" si="40"/>
        <v>747.66</v>
      </c>
      <c r="J94" s="4">
        <f t="shared" si="29"/>
        <v>2059.73</v>
      </c>
      <c r="K94" s="4">
        <f t="shared" si="30"/>
        <v>66751.8</v>
      </c>
      <c r="L94" s="4">
        <f t="shared" si="31"/>
        <v>68811.53</v>
      </c>
      <c r="M94" s="4">
        <f t="shared" si="32"/>
        <v>7.9253778859047164E-2</v>
      </c>
      <c r="N94" s="4">
        <f t="shared" si="33"/>
        <v>60078.119999999995</v>
      </c>
      <c r="O94" s="4">
        <f t="shared" si="34"/>
        <v>6.9195061303640504E-2</v>
      </c>
      <c r="P94" s="4">
        <f t="shared" si="24"/>
        <v>669053.67000000004</v>
      </c>
      <c r="Q94" s="4">
        <f t="shared" si="25"/>
        <v>0.7705835287634778</v>
      </c>
      <c r="R94" s="4">
        <v>88</v>
      </c>
      <c r="S94" s="4">
        <f t="shared" si="37"/>
        <v>665154.55722076073</v>
      </c>
      <c r="T94" s="4">
        <f t="shared" si="38"/>
        <v>0.76609272000000006</v>
      </c>
      <c r="U94" s="11">
        <f t="shared" si="35"/>
        <v>130377.68999999983</v>
      </c>
      <c r="V94" s="11">
        <f t="shared" si="36"/>
        <v>0.15016269237747498</v>
      </c>
      <c r="X94" s="3">
        <v>42149</v>
      </c>
      <c r="AA94">
        <v>1312.07</v>
      </c>
      <c r="AB94">
        <v>1312.07</v>
      </c>
      <c r="AC94">
        <v>40607.39</v>
      </c>
      <c r="AD94">
        <v>40607.39</v>
      </c>
      <c r="AE94">
        <v>41919.46</v>
      </c>
      <c r="AH94">
        <v>200314.26</v>
      </c>
      <c r="AI94">
        <v>200314.26</v>
      </c>
      <c r="AL94">
        <v>215577.89</v>
      </c>
      <c r="AM94">
        <v>215577.89</v>
      </c>
      <c r="AP94">
        <v>122078.29</v>
      </c>
      <c r="AQ94">
        <v>122078.29</v>
      </c>
      <c r="AW94">
        <v>71005.11</v>
      </c>
      <c r="AX94">
        <v>71005.11</v>
      </c>
      <c r="BB94">
        <v>608975.55000000005</v>
      </c>
      <c r="BE94">
        <v>747.66</v>
      </c>
      <c r="BF94">
        <v>747.66</v>
      </c>
      <c r="BG94">
        <v>26144.41</v>
      </c>
      <c r="BH94">
        <v>26144.41</v>
      </c>
      <c r="BI94">
        <v>26892.07</v>
      </c>
      <c r="BJ94">
        <v>1070.77</v>
      </c>
      <c r="BK94">
        <v>1070.77</v>
      </c>
      <c r="BM94">
        <v>40186.769999999997</v>
      </c>
      <c r="BN94">
        <v>40186.769999999997</v>
      </c>
      <c r="BO94">
        <v>41257.539999999994</v>
      </c>
      <c r="BP94">
        <v>243.36</v>
      </c>
      <c r="BQ94">
        <v>243.36</v>
      </c>
      <c r="BR94">
        <v>9136.25</v>
      </c>
      <c r="BS94">
        <v>9136.25</v>
      </c>
      <c r="BT94">
        <v>9379.61</v>
      </c>
      <c r="BU94">
        <v>9440.9699999999993</v>
      </c>
      <c r="BV94">
        <v>9440.9699999999993</v>
      </c>
      <c r="BW94">
        <v>9440.9699999999993</v>
      </c>
      <c r="BX94">
        <v>868242.8899999999</v>
      </c>
      <c r="BY94" s="1"/>
      <c r="BZ94" s="1"/>
    </row>
    <row r="95" spans="4:78">
      <c r="D95" s="3">
        <v>42156</v>
      </c>
      <c r="E95" s="11">
        <f t="shared" si="26"/>
        <v>974742.76000000024</v>
      </c>
      <c r="F95" s="4">
        <f t="shared" si="27"/>
        <v>678696.85</v>
      </c>
      <c r="G95" s="4">
        <f t="shared" si="28"/>
        <v>0.69628303779347878</v>
      </c>
      <c r="H95" s="4">
        <f t="shared" si="39"/>
        <v>1151.3699999999999</v>
      </c>
      <c r="I95" s="4">
        <f t="shared" si="40"/>
        <v>645.15</v>
      </c>
      <c r="J95" s="4">
        <f t="shared" si="29"/>
        <v>1796.52</v>
      </c>
      <c r="K95" s="4">
        <f t="shared" si="30"/>
        <v>76288.36</v>
      </c>
      <c r="L95" s="4">
        <f t="shared" si="31"/>
        <v>78084.88</v>
      </c>
      <c r="M95" s="4">
        <f t="shared" si="32"/>
        <v>8.0108191826939026E-2</v>
      </c>
      <c r="N95" s="4">
        <f t="shared" si="33"/>
        <v>68096.22</v>
      </c>
      <c r="O95" s="4">
        <f t="shared" si="34"/>
        <v>6.9860708685848552E-2</v>
      </c>
      <c r="P95" s="4">
        <f t="shared" si="24"/>
        <v>746793.07</v>
      </c>
      <c r="Q95" s="4">
        <f t="shared" si="25"/>
        <v>0.76614374647932726</v>
      </c>
      <c r="R95" s="4">
        <v>89</v>
      </c>
      <c r="S95" s="4">
        <f t="shared" si="37"/>
        <v>746994.02639915177</v>
      </c>
      <c r="T95" s="4">
        <f t="shared" si="38"/>
        <v>0.76634990999999997</v>
      </c>
      <c r="U95" s="11">
        <f t="shared" si="35"/>
        <v>149864.81000000029</v>
      </c>
      <c r="V95" s="11">
        <f t="shared" si="36"/>
        <v>0.1537480616937337</v>
      </c>
      <c r="X95" s="3">
        <v>42156</v>
      </c>
      <c r="AA95">
        <v>1151.3699999999999</v>
      </c>
      <c r="AB95">
        <v>1151.3699999999999</v>
      </c>
      <c r="AC95">
        <v>46401.47</v>
      </c>
      <c r="AD95">
        <v>46401.47</v>
      </c>
      <c r="AE95">
        <v>47552.840000000004</v>
      </c>
      <c r="AH95">
        <v>175058.97</v>
      </c>
      <c r="AI95">
        <v>175058.97</v>
      </c>
      <c r="AL95">
        <v>248905.37</v>
      </c>
      <c r="AM95">
        <v>248905.37</v>
      </c>
      <c r="AP95">
        <v>165247.59</v>
      </c>
      <c r="AQ95">
        <v>165247.59</v>
      </c>
      <c r="AW95">
        <v>89484.92</v>
      </c>
      <c r="AX95">
        <v>89484.92</v>
      </c>
      <c r="BB95">
        <v>678696.85</v>
      </c>
      <c r="BE95">
        <v>645.15</v>
      </c>
      <c r="BF95">
        <v>645.15</v>
      </c>
      <c r="BG95">
        <v>29886.89</v>
      </c>
      <c r="BH95">
        <v>29886.89</v>
      </c>
      <c r="BI95">
        <v>30532.04</v>
      </c>
      <c r="BJ95">
        <v>979.08</v>
      </c>
      <c r="BK95">
        <v>979.08</v>
      </c>
      <c r="BM95">
        <v>45407.78</v>
      </c>
      <c r="BN95">
        <v>45407.78</v>
      </c>
      <c r="BO95">
        <v>46386.86</v>
      </c>
      <c r="BP95">
        <v>254.87</v>
      </c>
      <c r="BQ95">
        <v>254.87</v>
      </c>
      <c r="BR95">
        <v>10470.26</v>
      </c>
      <c r="BS95">
        <v>10470.26</v>
      </c>
      <c r="BT95">
        <v>10725.130000000001</v>
      </c>
      <c r="BU95">
        <v>10984.23</v>
      </c>
      <c r="BV95">
        <v>10984.23</v>
      </c>
      <c r="BW95">
        <v>10984.23</v>
      </c>
      <c r="BX95">
        <v>974742.76000000024</v>
      </c>
      <c r="BY95" s="1"/>
      <c r="BZ95" s="1"/>
    </row>
    <row r="96" spans="4:78">
      <c r="D96" s="3">
        <v>42163</v>
      </c>
      <c r="E96" s="11">
        <f t="shared" si="26"/>
        <v>1006326.0299999999</v>
      </c>
      <c r="F96" s="4">
        <f t="shared" si="27"/>
        <v>703966.77</v>
      </c>
      <c r="G96" s="4">
        <f t="shared" si="28"/>
        <v>0.69954144980230715</v>
      </c>
      <c r="H96" s="4">
        <f t="shared" si="39"/>
        <v>1178.06</v>
      </c>
      <c r="I96" s="4">
        <f t="shared" si="40"/>
        <v>702.99</v>
      </c>
      <c r="J96" s="4">
        <f t="shared" si="29"/>
        <v>1881.05</v>
      </c>
      <c r="K96" s="4">
        <f t="shared" si="30"/>
        <v>78664.81</v>
      </c>
      <c r="L96" s="4">
        <f t="shared" si="31"/>
        <v>80545.86</v>
      </c>
      <c r="M96" s="4">
        <f t="shared" si="32"/>
        <v>8.0039527547548395E-2</v>
      </c>
      <c r="N96" s="4">
        <f t="shared" si="33"/>
        <v>69998.61</v>
      </c>
      <c r="O96" s="4">
        <f t="shared" si="34"/>
        <v>6.9558580334049394E-2</v>
      </c>
      <c r="P96" s="4">
        <f t="shared" si="24"/>
        <v>773965.38</v>
      </c>
      <c r="Q96" s="4">
        <f t="shared" si="25"/>
        <v>0.76910003013635653</v>
      </c>
      <c r="R96" s="4">
        <v>90</v>
      </c>
      <c r="S96" s="4">
        <f t="shared" si="37"/>
        <v>771456.67951281287</v>
      </c>
      <c r="T96" s="4">
        <f t="shared" si="38"/>
        <v>0.76660709999999999</v>
      </c>
      <c r="U96" s="11">
        <f t="shared" si="35"/>
        <v>151814.78999999992</v>
      </c>
      <c r="V96" s="11">
        <f t="shared" si="36"/>
        <v>0.15086044231609505</v>
      </c>
      <c r="X96" s="3">
        <v>42163</v>
      </c>
      <c r="AA96">
        <v>1178.06</v>
      </c>
      <c r="AB96">
        <v>1178.06</v>
      </c>
      <c r="AC96">
        <v>47591.81</v>
      </c>
      <c r="AD96">
        <v>47591.81</v>
      </c>
      <c r="AE96">
        <v>48769.869999999995</v>
      </c>
      <c r="AH96">
        <v>185948.95</v>
      </c>
      <c r="AI96">
        <v>185948.95</v>
      </c>
      <c r="AL96">
        <v>269062.67</v>
      </c>
      <c r="AM96">
        <v>269062.67</v>
      </c>
      <c r="AP96">
        <v>157451.9</v>
      </c>
      <c r="AQ96">
        <v>157451.9</v>
      </c>
      <c r="AW96">
        <v>91503.25</v>
      </c>
      <c r="AX96">
        <v>91503.25</v>
      </c>
      <c r="BB96">
        <v>703966.77</v>
      </c>
      <c r="BE96">
        <v>702.99</v>
      </c>
      <c r="BF96">
        <v>702.99</v>
      </c>
      <c r="BG96">
        <v>31073</v>
      </c>
      <c r="BH96">
        <v>31073</v>
      </c>
      <c r="BI96">
        <v>31775.99</v>
      </c>
      <c r="BJ96">
        <v>867.54</v>
      </c>
      <c r="BK96">
        <v>867.54</v>
      </c>
      <c r="BM96">
        <v>47073.25</v>
      </c>
      <c r="BN96">
        <v>47073.25</v>
      </c>
      <c r="BO96">
        <v>47940.79</v>
      </c>
      <c r="BP96">
        <v>166.96</v>
      </c>
      <c r="BQ96">
        <v>166.96</v>
      </c>
      <c r="BR96">
        <v>10837.45</v>
      </c>
      <c r="BS96">
        <v>10837.45</v>
      </c>
      <c r="BT96">
        <v>11004.41</v>
      </c>
      <c r="BU96">
        <v>11053.41</v>
      </c>
      <c r="BV96">
        <v>11053.41</v>
      </c>
      <c r="BW96">
        <v>11053.41</v>
      </c>
      <c r="BX96">
        <v>1006326.0299999999</v>
      </c>
      <c r="BY96" s="1"/>
      <c r="BZ96" s="1"/>
    </row>
    <row r="97" spans="4:78">
      <c r="D97" s="3">
        <v>42170</v>
      </c>
      <c r="E97" s="11">
        <f t="shared" si="26"/>
        <v>1001734.34</v>
      </c>
      <c r="F97" s="4">
        <f t="shared" si="27"/>
        <v>699904.38</v>
      </c>
      <c r="G97" s="4">
        <f t="shared" si="28"/>
        <v>0.69869260945970968</v>
      </c>
      <c r="H97" s="4">
        <f t="shared" si="39"/>
        <v>1150.75</v>
      </c>
      <c r="I97" s="4">
        <f t="shared" si="40"/>
        <v>617.28</v>
      </c>
      <c r="J97" s="4">
        <f t="shared" si="29"/>
        <v>1768.03</v>
      </c>
      <c r="K97" s="4">
        <f t="shared" si="30"/>
        <v>78816.23</v>
      </c>
      <c r="L97" s="4">
        <f t="shared" si="31"/>
        <v>80584.259999999995</v>
      </c>
      <c r="M97" s="4">
        <f t="shared" si="32"/>
        <v>8.0444741467083969E-2</v>
      </c>
      <c r="N97" s="4">
        <f t="shared" si="33"/>
        <v>69191.19</v>
      </c>
      <c r="O97" s="4">
        <f t="shared" si="34"/>
        <v>6.9071396713823355E-2</v>
      </c>
      <c r="P97" s="4">
        <f t="shared" si="24"/>
        <v>769095.57000000007</v>
      </c>
      <c r="Q97" s="4">
        <f t="shared" si="25"/>
        <v>0.76776400617353313</v>
      </c>
      <c r="R97" s="4">
        <v>91</v>
      </c>
      <c r="S97" s="4">
        <f t="shared" si="37"/>
        <v>768194.29341271857</v>
      </c>
      <c r="T97" s="4">
        <f t="shared" si="38"/>
        <v>0.76686429</v>
      </c>
      <c r="U97" s="11">
        <f t="shared" si="35"/>
        <v>152054.50999999989</v>
      </c>
      <c r="V97" s="11">
        <f t="shared" si="36"/>
        <v>0.15179125235938293</v>
      </c>
      <c r="X97" s="3">
        <v>42170</v>
      </c>
      <c r="AA97">
        <v>1150.75</v>
      </c>
      <c r="AB97">
        <v>1150.75</v>
      </c>
      <c r="AC97">
        <v>47982.89</v>
      </c>
      <c r="AD97">
        <v>47982.89</v>
      </c>
      <c r="AE97">
        <v>49133.64</v>
      </c>
      <c r="AH97">
        <v>196557.15</v>
      </c>
      <c r="AI97">
        <v>196557.15</v>
      </c>
      <c r="AL97">
        <v>267593.38</v>
      </c>
      <c r="AM97">
        <v>267593.38</v>
      </c>
      <c r="AP97">
        <v>147824.19</v>
      </c>
      <c r="AQ97">
        <v>147824.19</v>
      </c>
      <c r="AW97">
        <v>87929.66</v>
      </c>
      <c r="AX97">
        <v>87929.66</v>
      </c>
      <c r="BB97">
        <v>699904.38</v>
      </c>
      <c r="BE97">
        <v>617.28</v>
      </c>
      <c r="BF97">
        <v>617.28</v>
      </c>
      <c r="BG97">
        <v>30833.34</v>
      </c>
      <c r="BH97">
        <v>30833.34</v>
      </c>
      <c r="BI97">
        <v>31450.62</v>
      </c>
      <c r="BJ97">
        <v>843.99</v>
      </c>
      <c r="BK97">
        <v>843.99</v>
      </c>
      <c r="BM97">
        <v>46683.55</v>
      </c>
      <c r="BN97">
        <v>46683.55</v>
      </c>
      <c r="BO97">
        <v>47527.54</v>
      </c>
      <c r="BP97">
        <v>274.22000000000003</v>
      </c>
      <c r="BQ97">
        <v>274.22000000000003</v>
      </c>
      <c r="BR97">
        <v>10705.57</v>
      </c>
      <c r="BS97">
        <v>10705.57</v>
      </c>
      <c r="BT97">
        <v>10979.789999999999</v>
      </c>
      <c r="BU97">
        <v>10683.86</v>
      </c>
      <c r="BV97">
        <v>10683.86</v>
      </c>
      <c r="BW97">
        <v>10683.86</v>
      </c>
      <c r="BX97">
        <v>1001734.34</v>
      </c>
      <c r="BY97" s="1"/>
      <c r="BZ97" s="1"/>
    </row>
    <row r="98" spans="4:78">
      <c r="D98" s="3">
        <v>42177</v>
      </c>
      <c r="E98" s="11">
        <f t="shared" si="26"/>
        <v>1102458.7099999997</v>
      </c>
      <c r="F98" s="4">
        <f t="shared" si="27"/>
        <v>779908.36</v>
      </c>
      <c r="G98" s="4">
        <f t="shared" si="28"/>
        <v>0.70742636701559569</v>
      </c>
      <c r="H98" s="4">
        <f t="shared" si="39"/>
        <v>1130.47</v>
      </c>
      <c r="I98" s="4">
        <f t="shared" si="40"/>
        <v>680.65</v>
      </c>
      <c r="J98" s="4">
        <f t="shared" si="29"/>
        <v>1811.12</v>
      </c>
      <c r="K98" s="4">
        <f t="shared" si="30"/>
        <v>82606.320000000007</v>
      </c>
      <c r="L98" s="4">
        <f t="shared" si="31"/>
        <v>84417.44</v>
      </c>
      <c r="M98" s="4">
        <f t="shared" si="32"/>
        <v>7.6571974291898895E-2</v>
      </c>
      <c r="N98" s="4">
        <f t="shared" si="33"/>
        <v>73441.67</v>
      </c>
      <c r="O98" s="4">
        <f t="shared" si="34"/>
        <v>6.6616254499000702E-2</v>
      </c>
      <c r="P98" s="4">
        <f t="shared" si="24"/>
        <v>853350.03</v>
      </c>
      <c r="Q98" s="4">
        <f t="shared" si="25"/>
        <v>0.77404262151459646</v>
      </c>
      <c r="R98" s="4">
        <v>92</v>
      </c>
      <c r="S98" s="4">
        <f t="shared" si="37"/>
        <v>845719.75725409063</v>
      </c>
      <c r="T98" s="4">
        <f t="shared" si="38"/>
        <v>0.76712148000000002</v>
      </c>
      <c r="U98" s="11">
        <f t="shared" si="35"/>
        <v>164691.23999999964</v>
      </c>
      <c r="V98" s="11">
        <f t="shared" si="36"/>
        <v>0.1493854041935046</v>
      </c>
      <c r="X98" s="3">
        <v>42177</v>
      </c>
      <c r="AA98">
        <v>1130.47</v>
      </c>
      <c r="AB98">
        <v>1130.47</v>
      </c>
      <c r="AC98">
        <v>49585.06</v>
      </c>
      <c r="AD98">
        <v>49585.06</v>
      </c>
      <c r="AE98">
        <v>50715.53</v>
      </c>
      <c r="AH98">
        <v>220795.77</v>
      </c>
      <c r="AI98">
        <v>220795.77</v>
      </c>
      <c r="AL98">
        <v>305854.82</v>
      </c>
      <c r="AM98">
        <v>305854.82</v>
      </c>
      <c r="AP98">
        <v>158881.01999999999</v>
      </c>
      <c r="AQ98">
        <v>158881.01999999999</v>
      </c>
      <c r="AW98">
        <v>94376.75</v>
      </c>
      <c r="AX98">
        <v>94376.75</v>
      </c>
      <c r="BB98">
        <v>779908.36</v>
      </c>
      <c r="BE98">
        <v>680.65</v>
      </c>
      <c r="BF98">
        <v>680.65</v>
      </c>
      <c r="BG98">
        <v>33021.26</v>
      </c>
      <c r="BH98">
        <v>33021.26</v>
      </c>
      <c r="BI98">
        <v>33701.910000000003</v>
      </c>
      <c r="BJ98">
        <v>842.9</v>
      </c>
      <c r="BK98">
        <v>842.9</v>
      </c>
      <c r="BM98">
        <v>49407.3</v>
      </c>
      <c r="BN98">
        <v>49407.3</v>
      </c>
      <c r="BO98">
        <v>50250.200000000004</v>
      </c>
      <c r="BP98">
        <v>205.46</v>
      </c>
      <c r="BQ98">
        <v>205.46</v>
      </c>
      <c r="BR98">
        <v>11457.45</v>
      </c>
      <c r="BS98">
        <v>11457.45</v>
      </c>
      <c r="BT98">
        <v>11662.91</v>
      </c>
      <c r="BU98">
        <v>11528.56</v>
      </c>
      <c r="BV98">
        <v>11528.56</v>
      </c>
      <c r="BW98">
        <v>11528.56</v>
      </c>
      <c r="BX98">
        <v>1102458.7099999997</v>
      </c>
      <c r="BY98" s="1"/>
      <c r="BZ98" s="1"/>
    </row>
    <row r="99" spans="4:78">
      <c r="D99" s="3">
        <v>42184</v>
      </c>
      <c r="E99" s="11">
        <f t="shared" si="26"/>
        <v>1017685.24</v>
      </c>
      <c r="F99" s="4">
        <f t="shared" si="27"/>
        <v>718706.71</v>
      </c>
      <c r="G99" s="4">
        <f t="shared" si="28"/>
        <v>0.70621709124915677</v>
      </c>
      <c r="H99" s="4">
        <f t="shared" si="39"/>
        <v>1177.29</v>
      </c>
      <c r="I99" s="4">
        <f t="shared" si="40"/>
        <v>643.91999999999996</v>
      </c>
      <c r="J99" s="4">
        <f t="shared" si="29"/>
        <v>1821.21</v>
      </c>
      <c r="K99" s="4">
        <f t="shared" si="30"/>
        <v>75508.19</v>
      </c>
      <c r="L99" s="4">
        <f t="shared" si="31"/>
        <v>77329.400000000009</v>
      </c>
      <c r="M99" s="4">
        <f t="shared" si="32"/>
        <v>7.5985576837097502E-2</v>
      </c>
      <c r="N99" s="4">
        <f t="shared" si="33"/>
        <v>67652.55</v>
      </c>
      <c r="O99" s="4">
        <f t="shared" si="34"/>
        <v>6.6476890241623232E-2</v>
      </c>
      <c r="P99" s="4">
        <f t="shared" si="24"/>
        <v>786359.26</v>
      </c>
      <c r="Q99" s="4">
        <f t="shared" si="25"/>
        <v>0.77269398149078006</v>
      </c>
      <c r="R99" s="4">
        <v>93</v>
      </c>
      <c r="S99" s="4">
        <f t="shared" si="37"/>
        <v>780949.94594983081</v>
      </c>
      <c r="T99" s="4">
        <f t="shared" si="38"/>
        <v>0.76737867000000004</v>
      </c>
      <c r="U99" s="11">
        <f t="shared" si="35"/>
        <v>153996.57999999996</v>
      </c>
      <c r="V99" s="11">
        <f t="shared" si="36"/>
        <v>0.15132044167212247</v>
      </c>
      <c r="X99" s="3">
        <v>42184</v>
      </c>
      <c r="AA99">
        <v>1177.29</v>
      </c>
      <c r="AB99">
        <v>1177.29</v>
      </c>
      <c r="AC99">
        <v>44924.45</v>
      </c>
      <c r="AD99">
        <v>44924.45</v>
      </c>
      <c r="AE99">
        <v>46101.74</v>
      </c>
      <c r="AH99">
        <v>213555.4</v>
      </c>
      <c r="AI99">
        <v>213555.4</v>
      </c>
      <c r="AL99">
        <v>272124.18</v>
      </c>
      <c r="AM99">
        <v>272124.18</v>
      </c>
      <c r="AP99">
        <v>146730.94</v>
      </c>
      <c r="AQ99">
        <v>146730.94</v>
      </c>
      <c r="AW99">
        <v>86296.19</v>
      </c>
      <c r="AX99">
        <v>86296.19</v>
      </c>
      <c r="BB99">
        <v>718706.71</v>
      </c>
      <c r="BE99">
        <v>643.91999999999996</v>
      </c>
      <c r="BF99">
        <v>643.91999999999996</v>
      </c>
      <c r="BG99">
        <v>30583.74</v>
      </c>
      <c r="BH99">
        <v>30583.74</v>
      </c>
      <c r="BI99">
        <v>31227.66</v>
      </c>
      <c r="BJ99">
        <v>886.5</v>
      </c>
      <c r="BK99">
        <v>886.5</v>
      </c>
      <c r="BM99">
        <v>45395.98</v>
      </c>
      <c r="BN99">
        <v>45395.98</v>
      </c>
      <c r="BO99">
        <v>46282.48</v>
      </c>
      <c r="BP99">
        <v>191.73</v>
      </c>
      <c r="BQ99">
        <v>191.73</v>
      </c>
      <c r="BR99">
        <v>10381.86</v>
      </c>
      <c r="BS99">
        <v>10381.86</v>
      </c>
      <c r="BT99">
        <v>10573.59</v>
      </c>
      <c r="BU99">
        <v>10796.48</v>
      </c>
      <c r="BV99">
        <v>10796.48</v>
      </c>
      <c r="BW99">
        <v>10796.48</v>
      </c>
      <c r="BX99">
        <v>1017685.24</v>
      </c>
      <c r="BY99" s="1"/>
      <c r="BZ99" s="1"/>
    </row>
    <row r="100" spans="4:78">
      <c r="D100" s="3">
        <v>42191</v>
      </c>
      <c r="E100" s="11">
        <f t="shared" si="26"/>
        <v>910569.11999999988</v>
      </c>
      <c r="F100" s="4">
        <f t="shared" si="27"/>
        <v>641151.11</v>
      </c>
      <c r="G100" s="4">
        <f t="shared" si="28"/>
        <v>0.70412129723880823</v>
      </c>
      <c r="H100" s="4">
        <f t="shared" si="39"/>
        <v>1180.3599999999999</v>
      </c>
      <c r="I100" s="4">
        <f t="shared" si="40"/>
        <v>608.70000000000005</v>
      </c>
      <c r="J100" s="4">
        <f t="shared" si="29"/>
        <v>1789.06</v>
      </c>
      <c r="K100" s="4">
        <f t="shared" si="30"/>
        <v>68239.009999999995</v>
      </c>
      <c r="L100" s="4">
        <f t="shared" si="31"/>
        <v>70028.069999999992</v>
      </c>
      <c r="M100" s="4">
        <f t="shared" si="32"/>
        <v>7.6905825666479882E-2</v>
      </c>
      <c r="N100" s="4">
        <f t="shared" si="33"/>
        <v>60908.060000000005</v>
      </c>
      <c r="O100" s="4">
        <f t="shared" si="34"/>
        <v>6.6890100556012716E-2</v>
      </c>
      <c r="P100" s="4">
        <f t="shared" si="24"/>
        <v>702059.17</v>
      </c>
      <c r="Q100" s="4">
        <f t="shared" ref="Q100:Q103" si="41">P100/E100</f>
        <v>0.77101139779482109</v>
      </c>
      <c r="R100" s="4">
        <v>94</v>
      </c>
      <c r="S100" s="4">
        <f t="shared" si="37"/>
        <v>698985.50952064316</v>
      </c>
      <c r="T100" s="4">
        <f t="shared" si="38"/>
        <v>0.76763586000000006</v>
      </c>
      <c r="U100" s="11">
        <f t="shared" si="35"/>
        <v>138481.87999999989</v>
      </c>
      <c r="V100" s="11">
        <f t="shared" si="36"/>
        <v>0.15208277653869912</v>
      </c>
      <c r="X100" s="3">
        <v>42191</v>
      </c>
      <c r="AA100">
        <v>1180.3599999999999</v>
      </c>
      <c r="AB100">
        <v>1180.3599999999999</v>
      </c>
      <c r="AC100">
        <v>41382.239999999998</v>
      </c>
      <c r="AD100">
        <v>41382.239999999998</v>
      </c>
      <c r="AE100">
        <v>42562.6</v>
      </c>
      <c r="AH100">
        <v>191949.37</v>
      </c>
      <c r="AI100">
        <v>191949.37</v>
      </c>
      <c r="AL100">
        <v>243086.99</v>
      </c>
      <c r="AM100">
        <v>243086.99</v>
      </c>
      <c r="AP100">
        <v>129928.99</v>
      </c>
      <c r="AQ100">
        <v>129928.99</v>
      </c>
      <c r="AW100">
        <v>76185.759999999995</v>
      </c>
      <c r="AX100">
        <v>76185.759999999995</v>
      </c>
      <c r="BB100">
        <v>641151.11</v>
      </c>
      <c r="BE100">
        <v>608.70000000000005</v>
      </c>
      <c r="BF100">
        <v>608.70000000000005</v>
      </c>
      <c r="BG100">
        <v>26856.77</v>
      </c>
      <c r="BH100">
        <v>26856.77</v>
      </c>
      <c r="BI100">
        <v>27465.47</v>
      </c>
      <c r="BJ100">
        <v>832.36</v>
      </c>
      <c r="BK100">
        <v>832.36</v>
      </c>
      <c r="BM100">
        <v>41265.46</v>
      </c>
      <c r="BN100">
        <v>41265.46</v>
      </c>
      <c r="BO100">
        <v>42097.82</v>
      </c>
      <c r="BP100">
        <v>151.97</v>
      </c>
      <c r="BQ100">
        <v>151.97</v>
      </c>
      <c r="BR100">
        <v>9242.6200000000008</v>
      </c>
      <c r="BS100">
        <v>9242.6200000000008</v>
      </c>
      <c r="BT100">
        <v>9394.59</v>
      </c>
      <c r="BU100">
        <v>9415.65</v>
      </c>
      <c r="BV100">
        <v>9415.65</v>
      </c>
      <c r="BW100">
        <v>9415.65</v>
      </c>
      <c r="BX100">
        <v>910569.11999999988</v>
      </c>
      <c r="BY100" s="1"/>
      <c r="BZ100" s="1"/>
    </row>
    <row r="101" spans="4:78">
      <c r="D101" s="3">
        <v>42198</v>
      </c>
      <c r="E101" s="11">
        <f t="shared" si="26"/>
        <v>944791.87</v>
      </c>
      <c r="F101" s="4">
        <f t="shared" si="27"/>
        <v>663273.72000000009</v>
      </c>
      <c r="G101" s="4">
        <f t="shared" si="28"/>
        <v>0.7020315701912212</v>
      </c>
      <c r="H101" s="4">
        <f t="shared" si="39"/>
        <v>1264.58</v>
      </c>
      <c r="I101" s="4">
        <f t="shared" si="40"/>
        <v>738.63</v>
      </c>
      <c r="J101" s="4">
        <f t="shared" si="29"/>
        <v>2003.21</v>
      </c>
      <c r="K101" s="4">
        <f t="shared" si="30"/>
        <v>72018.510000000009</v>
      </c>
      <c r="L101" s="4">
        <f t="shared" si="31"/>
        <v>74021.720000000016</v>
      </c>
      <c r="M101" s="4">
        <f t="shared" si="32"/>
        <v>7.8347117868404204E-2</v>
      </c>
      <c r="N101" s="4">
        <f t="shared" si="33"/>
        <v>63032.270000000004</v>
      </c>
      <c r="O101" s="4">
        <f t="shared" si="34"/>
        <v>6.6715508464313955E-2</v>
      </c>
      <c r="P101" s="4">
        <f t="shared" si="24"/>
        <v>726305.99000000011</v>
      </c>
      <c r="Q101" s="4">
        <f t="shared" si="41"/>
        <v>0.76874707865553515</v>
      </c>
      <c r="R101" s="4">
        <v>95</v>
      </c>
      <c r="S101" s="4">
        <f t="shared" si="37"/>
        <v>725499.11066950345</v>
      </c>
      <c r="T101" s="4">
        <f t="shared" si="38"/>
        <v>0.76789304999999997</v>
      </c>
      <c r="U101" s="11">
        <f t="shared" si="35"/>
        <v>144464.15999999992</v>
      </c>
      <c r="V101" s="11">
        <f t="shared" si="36"/>
        <v>0.15290580347606073</v>
      </c>
      <c r="X101" s="3">
        <v>42198</v>
      </c>
      <c r="AA101">
        <v>1264.58</v>
      </c>
      <c r="AB101">
        <v>1264.58</v>
      </c>
      <c r="AC101">
        <v>43212.55</v>
      </c>
      <c r="AD101">
        <v>43212.55</v>
      </c>
      <c r="AE101">
        <v>44477.130000000005</v>
      </c>
      <c r="AH101">
        <v>197037.35</v>
      </c>
      <c r="AI101">
        <v>197037.35</v>
      </c>
      <c r="AL101">
        <v>260371.89</v>
      </c>
      <c r="AM101">
        <v>260371.89</v>
      </c>
      <c r="AP101">
        <v>128222.32</v>
      </c>
      <c r="AQ101">
        <v>128222.32</v>
      </c>
      <c r="AW101">
        <v>77642.16</v>
      </c>
      <c r="AX101">
        <v>77642.16</v>
      </c>
      <c r="BB101">
        <v>663273.72000000009</v>
      </c>
      <c r="BE101">
        <v>738.63</v>
      </c>
      <c r="BF101">
        <v>738.63</v>
      </c>
      <c r="BG101">
        <v>28805.96</v>
      </c>
      <c r="BH101">
        <v>28805.96</v>
      </c>
      <c r="BI101">
        <v>29544.59</v>
      </c>
      <c r="BJ101">
        <v>887.31</v>
      </c>
      <c r="BK101">
        <v>887.31</v>
      </c>
      <c r="BM101">
        <v>42586.26</v>
      </c>
      <c r="BN101">
        <v>42586.26</v>
      </c>
      <c r="BO101">
        <v>43473.57</v>
      </c>
      <c r="BP101">
        <v>155.62</v>
      </c>
      <c r="BQ101">
        <v>155.62</v>
      </c>
      <c r="BR101">
        <v>9606.36</v>
      </c>
      <c r="BS101">
        <v>9606.36</v>
      </c>
      <c r="BT101">
        <v>9761.9800000000014</v>
      </c>
      <c r="BU101">
        <v>9796.7199999999993</v>
      </c>
      <c r="BV101">
        <v>9796.7199999999993</v>
      </c>
      <c r="BW101">
        <v>9796.7199999999993</v>
      </c>
      <c r="BX101">
        <v>944791.87</v>
      </c>
      <c r="BY101" s="1"/>
      <c r="BZ101" s="1"/>
    </row>
    <row r="102" spans="4:78">
      <c r="D102" s="3">
        <v>42205</v>
      </c>
      <c r="E102" s="11">
        <f t="shared" si="26"/>
        <v>977324.43</v>
      </c>
      <c r="F102" s="4">
        <f t="shared" si="27"/>
        <v>683637.5</v>
      </c>
      <c r="G102" s="4">
        <f t="shared" si="28"/>
        <v>0.69949903943360958</v>
      </c>
      <c r="H102" s="4">
        <f t="shared" si="39"/>
        <v>1197.72</v>
      </c>
      <c r="I102" s="4">
        <f t="shared" si="40"/>
        <v>670.63</v>
      </c>
      <c r="J102" s="4">
        <f t="shared" si="29"/>
        <v>1868.35</v>
      </c>
      <c r="K102" s="4">
        <f t="shared" si="30"/>
        <v>76756.25</v>
      </c>
      <c r="L102" s="4">
        <f t="shared" ref="L102:L103" si="42">SUM(J102:K102)</f>
        <v>78624.600000000006</v>
      </c>
      <c r="M102" s="4">
        <f t="shared" ref="M102:M103" si="43">L102/E102</f>
        <v>8.0448822915436591E-2</v>
      </c>
      <c r="N102" s="4">
        <f t="shared" si="33"/>
        <v>63958.55</v>
      </c>
      <c r="O102" s="4">
        <f t="shared" si="34"/>
        <v>6.5442495896679873E-2</v>
      </c>
      <c r="P102" s="4">
        <f t="shared" si="24"/>
        <v>747596.05</v>
      </c>
      <c r="Q102" s="4">
        <f t="shared" si="41"/>
        <v>0.76494153533028941</v>
      </c>
      <c r="R102" s="4">
        <v>96</v>
      </c>
      <c r="S102" s="4">
        <f t="shared" si="37"/>
        <v>750731.99546236324</v>
      </c>
      <c r="T102" s="4">
        <f t="shared" ref="T102:T103" si="44">$B$9+$B$10*R102</f>
        <v>0.76815023999999998</v>
      </c>
      <c r="U102" s="11">
        <f t="shared" si="35"/>
        <v>151103.78000000003</v>
      </c>
      <c r="V102" s="11">
        <f t="shared" si="36"/>
        <v>0.15460964175427397</v>
      </c>
      <c r="X102" s="3">
        <v>42205</v>
      </c>
      <c r="AA102">
        <v>1197.72</v>
      </c>
      <c r="AB102">
        <v>1197.72</v>
      </c>
      <c r="AC102">
        <v>47602.28</v>
      </c>
      <c r="AD102">
        <v>47602.28</v>
      </c>
      <c r="AE102">
        <v>48800</v>
      </c>
      <c r="AH102">
        <v>204282.83</v>
      </c>
      <c r="AI102">
        <v>204282.83</v>
      </c>
      <c r="AL102">
        <v>270003.28999999998</v>
      </c>
      <c r="AM102">
        <v>270003.28999999998</v>
      </c>
      <c r="AP102">
        <v>130051.33</v>
      </c>
      <c r="AQ102">
        <v>130051.33</v>
      </c>
      <c r="AW102">
        <v>79300.05</v>
      </c>
      <c r="AX102">
        <v>79300.05</v>
      </c>
      <c r="BB102">
        <v>683637.5</v>
      </c>
      <c r="BE102">
        <v>670.63</v>
      </c>
      <c r="BF102">
        <v>670.63</v>
      </c>
      <c r="BG102">
        <v>29153.97</v>
      </c>
      <c r="BH102">
        <v>29153.97</v>
      </c>
      <c r="BI102">
        <v>29824.600000000002</v>
      </c>
      <c r="BJ102">
        <v>771.37</v>
      </c>
      <c r="BK102">
        <v>771.37</v>
      </c>
      <c r="BM102">
        <v>43678.03</v>
      </c>
      <c r="BN102">
        <v>43678.03</v>
      </c>
      <c r="BO102">
        <v>44449.4</v>
      </c>
      <c r="BP102">
        <v>191.39</v>
      </c>
      <c r="BQ102">
        <v>191.39</v>
      </c>
      <c r="BR102">
        <v>9622.4500000000007</v>
      </c>
      <c r="BS102">
        <v>9622.4500000000007</v>
      </c>
      <c r="BT102">
        <v>9813.84</v>
      </c>
      <c r="BU102">
        <v>9695.31</v>
      </c>
      <c r="BV102">
        <v>9695.31</v>
      </c>
      <c r="BW102">
        <v>9695.31</v>
      </c>
      <c r="BX102">
        <v>977324.43</v>
      </c>
      <c r="BY102" s="1"/>
      <c r="BZ102" s="1"/>
    </row>
    <row r="103" spans="4:78">
      <c r="D103" s="3">
        <v>42212</v>
      </c>
      <c r="E103" s="11">
        <f t="shared" si="26"/>
        <v>1022201.01</v>
      </c>
      <c r="F103" s="4">
        <f t="shared" si="27"/>
        <v>719359.53</v>
      </c>
      <c r="G103" s="4">
        <f t="shared" si="28"/>
        <v>0.70373588263232101</v>
      </c>
      <c r="H103" s="4">
        <f t="shared" si="39"/>
        <v>1379.21</v>
      </c>
      <c r="I103" s="4">
        <f t="shared" si="40"/>
        <v>771.07</v>
      </c>
      <c r="J103" s="4">
        <f t="shared" si="29"/>
        <v>2150.2800000000002</v>
      </c>
      <c r="K103" s="4">
        <f t="shared" si="30"/>
        <v>77021.209999999992</v>
      </c>
      <c r="L103" s="4">
        <f t="shared" si="42"/>
        <v>79171.489999999991</v>
      </c>
      <c r="M103" s="4">
        <f t="shared" si="43"/>
        <v>7.7451977864901531E-2</v>
      </c>
      <c r="N103" s="4">
        <f t="shared" si="33"/>
        <v>64847.58</v>
      </c>
      <c r="O103" s="4">
        <f t="shared" si="34"/>
        <v>6.3439166431659075E-2</v>
      </c>
      <c r="P103" s="4">
        <f t="shared" si="24"/>
        <v>784207.11</v>
      </c>
      <c r="Q103" s="4">
        <f t="shared" si="41"/>
        <v>0.76717504906398004</v>
      </c>
      <c r="R103" s="4">
        <v>97</v>
      </c>
      <c r="S103" s="4">
        <f t="shared" ref="S103" si="45">E103*T103</f>
        <v>785466.85103750427</v>
      </c>
      <c r="T103" s="4">
        <f t="shared" si="44"/>
        <v>0.76840743</v>
      </c>
      <c r="U103" s="11">
        <f t="shared" si="35"/>
        <v>158822.41000000003</v>
      </c>
      <c r="V103" s="11">
        <f t="shared" si="36"/>
        <v>0.15537297307111841</v>
      </c>
      <c r="X103" s="3">
        <v>42212</v>
      </c>
      <c r="AA103">
        <v>1379.21</v>
      </c>
      <c r="AB103">
        <v>1379.21</v>
      </c>
      <c r="AC103">
        <v>47231.78</v>
      </c>
      <c r="AD103">
        <v>47231.78</v>
      </c>
      <c r="AE103">
        <v>48610.99</v>
      </c>
      <c r="AH103">
        <v>225576.85</v>
      </c>
      <c r="AI103">
        <v>225576.85</v>
      </c>
      <c r="AL103">
        <v>276350.8</v>
      </c>
      <c r="AM103">
        <v>276350.8</v>
      </c>
      <c r="AP103">
        <v>137337.54</v>
      </c>
      <c r="AQ103">
        <v>137337.54</v>
      </c>
      <c r="AW103">
        <v>80094.34</v>
      </c>
      <c r="AX103">
        <v>80094.34</v>
      </c>
      <c r="BB103">
        <v>719359.53</v>
      </c>
      <c r="BE103">
        <v>771.07</v>
      </c>
      <c r="BF103">
        <v>771.07</v>
      </c>
      <c r="BG103">
        <v>29789.43</v>
      </c>
      <c r="BH103">
        <v>29789.43</v>
      </c>
      <c r="BI103">
        <v>30560.5</v>
      </c>
      <c r="BJ103">
        <v>911.32</v>
      </c>
      <c r="BK103">
        <v>911.32</v>
      </c>
      <c r="BM103">
        <v>44111.86</v>
      </c>
      <c r="BN103">
        <v>44111.86</v>
      </c>
      <c r="BO103">
        <v>45023.18</v>
      </c>
      <c r="BP103">
        <v>217.78</v>
      </c>
      <c r="BQ103">
        <v>217.78</v>
      </c>
      <c r="BR103">
        <v>9710.64</v>
      </c>
      <c r="BS103">
        <v>9710.64</v>
      </c>
      <c r="BT103">
        <v>9928.42</v>
      </c>
      <c r="BU103">
        <v>9895.98</v>
      </c>
      <c r="BV103">
        <v>9895.98</v>
      </c>
      <c r="BW103">
        <v>9895.98</v>
      </c>
      <c r="BX103">
        <v>1022201.01</v>
      </c>
      <c r="BY103" s="1"/>
      <c r="BZ103" s="1"/>
    </row>
    <row r="104" spans="4:78" s="4" customFormat="1">
      <c r="D104" s="3"/>
      <c r="E104" s="11"/>
      <c r="U104" s="11"/>
      <c r="V104" s="11"/>
      <c r="X104" s="3"/>
      <c r="BY104" s="1"/>
      <c r="BZ104" s="1"/>
    </row>
    <row r="105" spans="4:78" s="4" customFormat="1">
      <c r="D105" s="3"/>
      <c r="E105" s="11"/>
      <c r="U105" s="11"/>
      <c r="V105" s="11"/>
      <c r="X105" s="3"/>
      <c r="BY105" s="1"/>
      <c r="BZ105" s="1"/>
    </row>
    <row r="106" spans="4:78">
      <c r="D106" s="3">
        <v>42219</v>
      </c>
      <c r="E106" s="11">
        <f t="shared" si="26"/>
        <v>1031933.84</v>
      </c>
      <c r="F106" s="4">
        <f t="shared" si="27"/>
        <v>715103.91</v>
      </c>
      <c r="G106" s="4">
        <f t="shared" si="28"/>
        <v>0.69297457092791925</v>
      </c>
      <c r="H106" s="4">
        <f t="shared" si="39"/>
        <v>1188.01</v>
      </c>
      <c r="I106" s="4">
        <f t="shared" si="40"/>
        <v>679.36</v>
      </c>
      <c r="J106" s="4">
        <f t="shared" si="29"/>
        <v>1867.37</v>
      </c>
      <c r="K106" s="4">
        <f t="shared" si="30"/>
        <v>89703.89</v>
      </c>
      <c r="L106" s="4">
        <f t="shared" si="31"/>
        <v>91571.26</v>
      </c>
      <c r="M106" s="4">
        <f t="shared" si="32"/>
        <v>8.8737529917615646E-2</v>
      </c>
      <c r="N106" s="4">
        <f t="shared" ref="N106:N111" si="46">SUM(BO106,BT106,BW106)</f>
        <v>73976.62</v>
      </c>
      <c r="O106" s="4">
        <f t="shared" si="34"/>
        <v>7.1687367089347503E-2</v>
      </c>
      <c r="P106" s="4">
        <f t="shared" ref="P106:P111" si="47">SUM(F106,N106)</f>
        <v>789080.53</v>
      </c>
      <c r="Q106" s="4">
        <f t="shared" ref="Q106:Q111" si="48">P106/E106</f>
        <v>0.76466193801726678</v>
      </c>
      <c r="R106" s="4">
        <v>98</v>
      </c>
      <c r="S106" s="4">
        <f>E106*T106</f>
        <v>793211.03298874083</v>
      </c>
      <c r="T106" s="4">
        <f>$B$9+$B$10*R106</f>
        <v>0.76866462000000002</v>
      </c>
      <c r="U106" s="11">
        <f t="shared" si="35"/>
        <v>151282.04999999993</v>
      </c>
      <c r="V106" s="11">
        <f t="shared" si="36"/>
        <v>0.14660053206511761</v>
      </c>
      <c r="X106" s="3">
        <v>42219</v>
      </c>
      <c r="AA106">
        <v>1188.01</v>
      </c>
      <c r="AB106">
        <v>1188.01</v>
      </c>
      <c r="AC106">
        <v>54583.74</v>
      </c>
      <c r="AD106">
        <v>54583.74</v>
      </c>
      <c r="AE106">
        <v>55771.75</v>
      </c>
      <c r="AH106">
        <v>169896.45</v>
      </c>
      <c r="AI106">
        <v>169896.45</v>
      </c>
      <c r="AL106">
        <v>361547.36</v>
      </c>
      <c r="AM106">
        <v>361547.36</v>
      </c>
      <c r="AP106">
        <v>109253.9</v>
      </c>
      <c r="AQ106">
        <v>109253.9</v>
      </c>
      <c r="AW106">
        <v>74406.2</v>
      </c>
      <c r="AX106">
        <v>74406.2</v>
      </c>
      <c r="BB106">
        <v>715103.91</v>
      </c>
      <c r="BE106">
        <v>679.36</v>
      </c>
      <c r="BF106">
        <v>679.36</v>
      </c>
      <c r="BG106">
        <v>35120.15</v>
      </c>
      <c r="BH106">
        <v>35120.15</v>
      </c>
      <c r="BI106">
        <v>35799.51</v>
      </c>
      <c r="BJ106">
        <v>726.34</v>
      </c>
      <c r="BK106">
        <v>726.34</v>
      </c>
      <c r="BM106">
        <v>51796.36</v>
      </c>
      <c r="BN106">
        <v>51796.36</v>
      </c>
      <c r="BO106">
        <v>52522.7</v>
      </c>
      <c r="BP106">
        <v>177.93</v>
      </c>
      <c r="BQ106">
        <v>177.93</v>
      </c>
      <c r="BR106">
        <v>10523.44</v>
      </c>
      <c r="BS106">
        <v>10523.44</v>
      </c>
      <c r="BT106">
        <v>10701.37</v>
      </c>
      <c r="BU106">
        <v>10752.55</v>
      </c>
      <c r="BV106">
        <v>10752.55</v>
      </c>
      <c r="BW106">
        <v>10752.55</v>
      </c>
      <c r="BX106">
        <v>1031933.84</v>
      </c>
      <c r="BY106" s="1"/>
      <c r="BZ106" s="1"/>
    </row>
    <row r="107" spans="4:78">
      <c r="D107" s="3">
        <v>42226</v>
      </c>
      <c r="E107" s="11">
        <f t="shared" si="26"/>
        <v>984766.66999999993</v>
      </c>
      <c r="F107" s="4">
        <f t="shared" si="27"/>
        <v>685974.20000000007</v>
      </c>
      <c r="G107" s="4">
        <f t="shared" si="28"/>
        <v>0.6965855170545121</v>
      </c>
      <c r="H107" s="4">
        <f t="shared" si="39"/>
        <v>976.19</v>
      </c>
      <c r="I107" s="4">
        <f t="shared" si="40"/>
        <v>448.42</v>
      </c>
      <c r="J107" s="4">
        <f t="shared" si="29"/>
        <v>1424.6100000000001</v>
      </c>
      <c r="K107" s="4">
        <f t="shared" si="30"/>
        <v>82250.86</v>
      </c>
      <c r="L107" s="4">
        <f t="shared" si="31"/>
        <v>83675.47</v>
      </c>
      <c r="M107" s="4">
        <f t="shared" si="32"/>
        <v>8.4969843668653011E-2</v>
      </c>
      <c r="N107" s="4">
        <f t="shared" si="46"/>
        <v>66576.210000000006</v>
      </c>
      <c r="O107" s="4">
        <f t="shared" si="34"/>
        <v>6.7606075660542012E-2</v>
      </c>
      <c r="P107" s="4">
        <f t="shared" si="47"/>
        <v>752550.41</v>
      </c>
      <c r="Q107" s="4">
        <f t="shared" si="48"/>
        <v>0.7641915927150541</v>
      </c>
      <c r="R107" s="4">
        <v>99</v>
      </c>
      <c r="S107" s="4">
        <f>E107*T107</f>
        <v>757208.57032407273</v>
      </c>
      <c r="T107" s="4">
        <f t="shared" ref="T107:T110" si="49">$B$9+$B$10*R107</f>
        <v>0.76892181000000004</v>
      </c>
      <c r="U107" s="11">
        <f t="shared" si="35"/>
        <v>148540.78999999992</v>
      </c>
      <c r="V107" s="11">
        <f t="shared" si="36"/>
        <v>0.15083856361629291</v>
      </c>
      <c r="X107" s="3">
        <v>42226</v>
      </c>
      <c r="AA107">
        <v>976.19</v>
      </c>
      <c r="AB107">
        <v>976.19</v>
      </c>
      <c r="AC107">
        <v>49848.65</v>
      </c>
      <c r="AD107">
        <v>49848.65</v>
      </c>
      <c r="AE107">
        <v>50824.840000000004</v>
      </c>
      <c r="AH107">
        <v>176220.04</v>
      </c>
      <c r="AI107">
        <v>176220.04</v>
      </c>
      <c r="AL107">
        <v>320073.38</v>
      </c>
      <c r="AM107">
        <v>320073.38</v>
      </c>
      <c r="AP107">
        <v>112799.9</v>
      </c>
      <c r="AQ107">
        <v>112799.9</v>
      </c>
      <c r="AW107">
        <v>76880.88</v>
      </c>
      <c r="AX107">
        <v>76880.88</v>
      </c>
      <c r="BB107">
        <v>685974.20000000007</v>
      </c>
      <c r="BE107">
        <v>448.42</v>
      </c>
      <c r="BF107">
        <v>448.42</v>
      </c>
      <c r="BG107">
        <v>32402.21</v>
      </c>
      <c r="BH107">
        <v>32402.21</v>
      </c>
      <c r="BI107">
        <v>32850.629999999997</v>
      </c>
      <c r="BJ107">
        <v>715.11</v>
      </c>
      <c r="BK107">
        <v>715.11</v>
      </c>
      <c r="BM107">
        <v>47102.83</v>
      </c>
      <c r="BN107">
        <v>47102.83</v>
      </c>
      <c r="BO107">
        <v>47817.94</v>
      </c>
      <c r="BP107">
        <v>55.22</v>
      </c>
      <c r="BQ107">
        <v>55.22</v>
      </c>
      <c r="BR107">
        <v>9105.7000000000007</v>
      </c>
      <c r="BS107">
        <v>9105.7000000000007</v>
      </c>
      <c r="BT107">
        <v>9160.92</v>
      </c>
      <c r="BU107">
        <v>9597.35</v>
      </c>
      <c r="BV107">
        <v>9597.35</v>
      </c>
      <c r="BW107">
        <v>9597.35</v>
      </c>
      <c r="BX107">
        <v>984766.66999999993</v>
      </c>
      <c r="BY107" s="1"/>
      <c r="BZ107" s="1"/>
    </row>
    <row r="108" spans="4:78">
      <c r="D108" s="3">
        <v>42233</v>
      </c>
      <c r="E108" s="11">
        <f t="shared" si="26"/>
        <v>984311.71999999986</v>
      </c>
      <c r="F108" s="4">
        <f t="shared" si="27"/>
        <v>691731.47</v>
      </c>
      <c r="G108" s="4">
        <f t="shared" si="28"/>
        <v>0.70275651091505853</v>
      </c>
      <c r="H108" s="4">
        <f t="shared" si="39"/>
        <v>988.6</v>
      </c>
      <c r="I108" s="4">
        <f t="shared" si="40"/>
        <v>567.64</v>
      </c>
      <c r="J108" s="4">
        <f t="shared" si="29"/>
        <v>1556.24</v>
      </c>
      <c r="K108" s="4">
        <f t="shared" si="30"/>
        <v>79954.570000000007</v>
      </c>
      <c r="L108" s="4">
        <f t="shared" si="31"/>
        <v>81510.810000000012</v>
      </c>
      <c r="M108" s="4">
        <f t="shared" si="32"/>
        <v>8.2809955772953733E-2</v>
      </c>
      <c r="N108" s="4">
        <f t="shared" si="46"/>
        <v>61117.509999999995</v>
      </c>
      <c r="O108" s="4">
        <f t="shared" si="34"/>
        <v>6.2091620731692602E-2</v>
      </c>
      <c r="P108" s="4">
        <f t="shared" si="47"/>
        <v>752848.98</v>
      </c>
      <c r="Q108" s="4">
        <f t="shared" si="48"/>
        <v>0.76484813164675114</v>
      </c>
      <c r="R108" s="4">
        <v>100</v>
      </c>
      <c r="S108" s="4">
        <f>E108*T108</f>
        <v>757111.90447787999</v>
      </c>
      <c r="T108" s="4">
        <f t="shared" si="49"/>
        <v>0.76917900000000006</v>
      </c>
      <c r="U108" s="11">
        <f t="shared" si="35"/>
        <v>149951.92999999982</v>
      </c>
      <c r="V108" s="11">
        <f t="shared" si="36"/>
        <v>0.15234191258029503</v>
      </c>
      <c r="X108" s="3">
        <v>42233</v>
      </c>
      <c r="AA108">
        <v>988.6</v>
      </c>
      <c r="AB108">
        <v>988.6</v>
      </c>
      <c r="AC108">
        <v>48874.62</v>
      </c>
      <c r="AD108">
        <v>48874.62</v>
      </c>
      <c r="AE108">
        <v>49863.22</v>
      </c>
      <c r="AH108">
        <v>187729.11</v>
      </c>
      <c r="AI108">
        <v>187729.11</v>
      </c>
      <c r="AL108">
        <v>304980.87</v>
      </c>
      <c r="AM108">
        <v>304980.87</v>
      </c>
      <c r="AP108">
        <v>118939.72</v>
      </c>
      <c r="AQ108">
        <v>118939.72</v>
      </c>
      <c r="AW108">
        <v>80081.77</v>
      </c>
      <c r="AX108">
        <v>80081.77</v>
      </c>
      <c r="BB108">
        <v>691731.47</v>
      </c>
      <c r="BE108">
        <v>567.64</v>
      </c>
      <c r="BF108">
        <v>567.64</v>
      </c>
      <c r="BG108">
        <v>31079.95</v>
      </c>
      <c r="BH108">
        <v>31079.95</v>
      </c>
      <c r="BI108">
        <v>31647.59</v>
      </c>
      <c r="BJ108">
        <v>723.84</v>
      </c>
      <c r="BK108">
        <v>723.84</v>
      </c>
      <c r="BM108">
        <v>45390.51</v>
      </c>
      <c r="BN108">
        <v>45390.51</v>
      </c>
      <c r="BO108">
        <v>46114.35</v>
      </c>
      <c r="BP108">
        <v>-167.86</v>
      </c>
      <c r="BQ108">
        <v>-167.86</v>
      </c>
      <c r="BR108">
        <v>6834.96</v>
      </c>
      <c r="BS108">
        <v>6834.96</v>
      </c>
      <c r="BT108">
        <v>6667.1</v>
      </c>
      <c r="BU108">
        <v>8336.06</v>
      </c>
      <c r="BV108">
        <v>8336.06</v>
      </c>
      <c r="BW108">
        <v>8336.06</v>
      </c>
      <c r="BX108">
        <v>984311.71999999986</v>
      </c>
      <c r="BY108" s="1"/>
      <c r="BZ108" s="1"/>
    </row>
    <row r="109" spans="4:78">
      <c r="D109" s="3">
        <v>42240</v>
      </c>
      <c r="E109" s="11">
        <f t="shared" si="26"/>
        <v>1044320.2000000001</v>
      </c>
      <c r="F109" s="4">
        <f t="shared" si="27"/>
        <v>738782.88000000012</v>
      </c>
      <c r="G109" s="4">
        <f t="shared" si="28"/>
        <v>0.70742946464120882</v>
      </c>
      <c r="H109" s="4">
        <f t="shared" si="39"/>
        <v>971.24</v>
      </c>
      <c r="I109" s="4">
        <f t="shared" si="40"/>
        <v>531.89</v>
      </c>
      <c r="J109" s="4">
        <f t="shared" si="29"/>
        <v>1503.13</v>
      </c>
      <c r="K109" s="4">
        <f t="shared" si="30"/>
        <v>85618.43</v>
      </c>
      <c r="L109" s="4">
        <f t="shared" si="31"/>
        <v>87121.56</v>
      </c>
      <c r="M109" s="4">
        <f t="shared" si="32"/>
        <v>8.3424183502339599E-2</v>
      </c>
      <c r="N109" s="4">
        <f t="shared" si="46"/>
        <v>63600.069999999992</v>
      </c>
      <c r="O109" s="4">
        <f t="shared" si="34"/>
        <v>6.0900928661535021E-2</v>
      </c>
      <c r="P109" s="4">
        <f t="shared" si="47"/>
        <v>802382.95000000007</v>
      </c>
      <c r="Q109" s="4">
        <f t="shared" si="48"/>
        <v>0.76833039330274377</v>
      </c>
      <c r="R109" s="4">
        <v>101</v>
      </c>
      <c r="S109" s="4">
        <f>E109*T109</f>
        <v>803537.75582803797</v>
      </c>
      <c r="T109" s="4">
        <f t="shared" si="49"/>
        <v>0.76943618999999996</v>
      </c>
      <c r="U109" s="11">
        <f t="shared" si="35"/>
        <v>154815.68999999994</v>
      </c>
      <c r="V109" s="11">
        <f t="shared" si="36"/>
        <v>0.1482454231949166</v>
      </c>
      <c r="X109" s="3">
        <v>42240</v>
      </c>
      <c r="AA109">
        <v>971.24</v>
      </c>
      <c r="AB109">
        <v>971.24</v>
      </c>
      <c r="AC109">
        <v>52165.65</v>
      </c>
      <c r="AD109">
        <v>52165.65</v>
      </c>
      <c r="AE109">
        <v>53136.89</v>
      </c>
      <c r="AH109">
        <v>196390.06</v>
      </c>
      <c r="AI109">
        <v>196390.06</v>
      </c>
      <c r="AL109">
        <v>342723.94</v>
      </c>
      <c r="AM109">
        <v>342723.94</v>
      </c>
      <c r="AP109">
        <v>120180.31</v>
      </c>
      <c r="AQ109">
        <v>120180.31</v>
      </c>
      <c r="AW109">
        <v>79488.570000000007</v>
      </c>
      <c r="AX109">
        <v>79488.570000000007</v>
      </c>
      <c r="BB109">
        <v>738782.88000000012</v>
      </c>
      <c r="BE109">
        <v>531.89</v>
      </c>
      <c r="BF109">
        <v>531.89</v>
      </c>
      <c r="BG109">
        <v>33452.78</v>
      </c>
      <c r="BH109">
        <v>33452.78</v>
      </c>
      <c r="BI109">
        <v>33984.67</v>
      </c>
      <c r="BJ109">
        <v>708.95</v>
      </c>
      <c r="BK109">
        <v>708.95</v>
      </c>
      <c r="BM109">
        <v>48880.78</v>
      </c>
      <c r="BN109">
        <v>48880.78</v>
      </c>
      <c r="BO109">
        <v>49589.729999999996</v>
      </c>
      <c r="BP109">
        <v>-487.92</v>
      </c>
      <c r="BQ109">
        <v>-487.92</v>
      </c>
      <c r="BR109">
        <v>6362.88</v>
      </c>
      <c r="BS109">
        <v>6362.88</v>
      </c>
      <c r="BT109">
        <v>5874.96</v>
      </c>
      <c r="BU109">
        <v>8135.38</v>
      </c>
      <c r="BV109">
        <v>8135.38</v>
      </c>
      <c r="BW109">
        <v>8135.38</v>
      </c>
      <c r="BX109">
        <v>1044320.2000000001</v>
      </c>
    </row>
    <row r="110" spans="4:78">
      <c r="D110" s="3">
        <v>42247</v>
      </c>
      <c r="E110" s="11">
        <f t="shared" si="26"/>
        <v>860678.66000000015</v>
      </c>
      <c r="F110" s="4">
        <f t="shared" si="27"/>
        <v>613170.49</v>
      </c>
      <c r="G110" s="4">
        <f t="shared" si="28"/>
        <v>0.71242673775599352</v>
      </c>
      <c r="H110" s="4">
        <f t="shared" si="39"/>
        <v>712.86</v>
      </c>
      <c r="I110" s="4">
        <f t="shared" si="40"/>
        <v>384.85</v>
      </c>
      <c r="J110" s="4">
        <f t="shared" si="29"/>
        <v>1097.71</v>
      </c>
      <c r="K110" s="4">
        <f t="shared" si="30"/>
        <v>66852.86</v>
      </c>
      <c r="L110" s="4">
        <f t="shared" si="31"/>
        <v>67950.570000000007</v>
      </c>
      <c r="M110" s="4">
        <f t="shared" si="32"/>
        <v>7.8949988140753949E-2</v>
      </c>
      <c r="N110" s="4">
        <f t="shared" si="46"/>
        <v>48102.039999999994</v>
      </c>
      <c r="O110" s="4">
        <f t="shared" si="34"/>
        <v>5.5888500825615896E-2</v>
      </c>
      <c r="P110" s="4">
        <f t="shared" si="47"/>
        <v>661272.53</v>
      </c>
      <c r="Q110" s="4">
        <f t="shared" si="48"/>
        <v>0.76831523858160944</v>
      </c>
      <c r="R110" s="4">
        <v>102</v>
      </c>
      <c r="S110" s="4">
        <f>E110*T110</f>
        <v>662458.66690927092</v>
      </c>
      <c r="T110" s="4">
        <f t="shared" si="49"/>
        <v>0.76969337999999998</v>
      </c>
      <c r="U110" s="11">
        <f t="shared" si="35"/>
        <v>131455.56000000006</v>
      </c>
      <c r="V110" s="11">
        <f t="shared" si="36"/>
        <v>0.15273477327763654</v>
      </c>
      <c r="X110" s="3">
        <v>42247</v>
      </c>
      <c r="AA110">
        <v>712.86</v>
      </c>
      <c r="AB110">
        <v>712.86</v>
      </c>
      <c r="AC110">
        <v>41260.07</v>
      </c>
      <c r="AD110">
        <v>41260.07</v>
      </c>
      <c r="AE110">
        <v>41972.93</v>
      </c>
      <c r="AH110">
        <v>176801.53</v>
      </c>
      <c r="AI110">
        <v>176801.53</v>
      </c>
      <c r="AL110">
        <v>228567.47</v>
      </c>
      <c r="AM110">
        <v>228567.47</v>
      </c>
      <c r="AP110">
        <v>131162.87</v>
      </c>
      <c r="AQ110">
        <v>131162.87</v>
      </c>
      <c r="AW110">
        <v>76638.62</v>
      </c>
      <c r="AX110">
        <v>76638.62</v>
      </c>
      <c r="BB110">
        <v>613170.49</v>
      </c>
      <c r="BE110">
        <v>384.85</v>
      </c>
      <c r="BF110">
        <v>384.85</v>
      </c>
      <c r="BG110">
        <v>25592.79</v>
      </c>
      <c r="BH110">
        <v>25592.79</v>
      </c>
      <c r="BI110">
        <v>25977.64</v>
      </c>
      <c r="BJ110">
        <v>640.4</v>
      </c>
      <c r="BK110">
        <v>640.4</v>
      </c>
      <c r="BM110">
        <v>37348.769999999997</v>
      </c>
      <c r="BN110">
        <v>37348.769999999997</v>
      </c>
      <c r="BO110">
        <v>37989.17</v>
      </c>
      <c r="BP110">
        <v>-788.8</v>
      </c>
      <c r="BQ110">
        <v>-788.8</v>
      </c>
      <c r="BR110">
        <v>4544.04</v>
      </c>
      <c r="BS110">
        <v>4544.04</v>
      </c>
      <c r="BT110">
        <v>3755.24</v>
      </c>
      <c r="BU110">
        <v>6357.63</v>
      </c>
      <c r="BV110">
        <v>6357.63</v>
      </c>
      <c r="BW110">
        <v>6357.63</v>
      </c>
      <c r="BX110">
        <v>860678.66000000015</v>
      </c>
    </row>
    <row r="111" spans="4:78" s="5" customFormat="1">
      <c r="D111" s="26" t="s">
        <v>16</v>
      </c>
      <c r="E111" s="11">
        <f t="shared" si="26"/>
        <v>89787942.030000001</v>
      </c>
      <c r="F111" s="4">
        <f t="shared" si="27"/>
        <v>65482800.460000008</v>
      </c>
      <c r="G111" s="4">
        <f t="shared" si="28"/>
        <v>0.72930506011732465</v>
      </c>
      <c r="H111" s="4">
        <f t="shared" si="39"/>
        <v>51057.500000000509</v>
      </c>
      <c r="I111" s="4">
        <f t="shared" si="40"/>
        <v>26414.18999999958</v>
      </c>
      <c r="J111" s="4">
        <f t="shared" si="29"/>
        <v>77471.69000000009</v>
      </c>
      <c r="K111" s="4">
        <f t="shared" si="30"/>
        <v>2456176.88</v>
      </c>
      <c r="L111" s="4">
        <f t="shared" si="31"/>
        <v>2533648.5699999998</v>
      </c>
      <c r="M111" s="4">
        <f t="shared" si="32"/>
        <v>2.8218138345942438E-2</v>
      </c>
      <c r="N111" s="4">
        <f t="shared" si="46"/>
        <v>2723440.57</v>
      </c>
      <c r="O111" s="4">
        <f t="shared" si="34"/>
        <v>3.0331918834825753E-2</v>
      </c>
      <c r="P111" s="4">
        <f t="shared" si="47"/>
        <v>68206241.030000001</v>
      </c>
      <c r="Q111" s="4">
        <f t="shared" si="48"/>
        <v>0.75963697895215032</v>
      </c>
      <c r="U111" s="25">
        <f t="shared" ref="U111" si="50">E111-SUM(F111,L111,N111)</f>
        <v>19048052.430000007</v>
      </c>
      <c r="V111" s="25">
        <f t="shared" ref="V111" si="51">U111/E111</f>
        <v>0.21214488270190734</v>
      </c>
      <c r="X111" s="26" t="s">
        <v>16</v>
      </c>
      <c r="Y111" s="5">
        <v>549266.54</v>
      </c>
      <c r="Z111" s="5">
        <v>1753465.8699999999</v>
      </c>
      <c r="AA111" s="5">
        <v>135183.04999999996</v>
      </c>
      <c r="AB111" s="5">
        <v>2437915.4600000004</v>
      </c>
      <c r="AC111" s="5">
        <v>1458127.72</v>
      </c>
      <c r="AD111" s="5">
        <v>1458127.72</v>
      </c>
      <c r="AE111" s="5">
        <v>3896043.1800000006</v>
      </c>
      <c r="AF111" s="5">
        <v>2845363.4899999993</v>
      </c>
      <c r="AG111" s="5">
        <v>10002131.630000001</v>
      </c>
      <c r="AH111" s="5">
        <v>6664783.4000000004</v>
      </c>
      <c r="AI111" s="5">
        <v>19512278.519999992</v>
      </c>
      <c r="AJ111" s="5">
        <v>3840017.7900000005</v>
      </c>
      <c r="AK111" s="5">
        <v>12735958.259999998</v>
      </c>
      <c r="AL111" s="5">
        <v>8929687.5700000003</v>
      </c>
      <c r="AM111" s="5">
        <v>25505663.61999999</v>
      </c>
      <c r="AN111" s="5">
        <v>1989719.22</v>
      </c>
      <c r="AO111" s="5">
        <v>6497576.3099999977</v>
      </c>
      <c r="AP111" s="5">
        <v>4352159.8600000003</v>
      </c>
      <c r="AQ111" s="5">
        <v>12839455.389999995</v>
      </c>
      <c r="AR111" s="5">
        <v>58201.84</v>
      </c>
      <c r="AS111" s="5">
        <v>39794.730000000003</v>
      </c>
      <c r="AT111" s="5">
        <v>97996.57</v>
      </c>
      <c r="AU111" s="5">
        <v>1050906.5600000003</v>
      </c>
      <c r="AV111" s="5">
        <v>3682610.9099999992</v>
      </c>
      <c r="AW111" s="5">
        <v>2793892.0099999993</v>
      </c>
      <c r="AX111" s="5">
        <v>7527409.4799999995</v>
      </c>
      <c r="AY111" s="5">
        <v>-1.9100000000000001</v>
      </c>
      <c r="AZ111" s="5">
        <v>-1.21</v>
      </c>
      <c r="BA111" s="5">
        <v>-3.12</v>
      </c>
      <c r="BB111" s="5">
        <v>65482800.460000008</v>
      </c>
      <c r="BC111" s="5">
        <v>397102.9</v>
      </c>
      <c r="BD111" s="5">
        <v>1241323.2899999998</v>
      </c>
      <c r="BE111" s="5">
        <v>83885.430000000008</v>
      </c>
      <c r="BF111" s="5">
        <v>1722311.6199999994</v>
      </c>
      <c r="BG111" s="5">
        <v>998049.16</v>
      </c>
      <c r="BH111" s="5">
        <v>998049.16</v>
      </c>
      <c r="BI111" s="5">
        <v>2720360.7800000003</v>
      </c>
      <c r="BJ111" s="5">
        <v>39054.65</v>
      </c>
      <c r="BK111" s="5">
        <v>39054.65</v>
      </c>
      <c r="BL111" s="5">
        <v>165229.26</v>
      </c>
      <c r="BM111" s="5">
        <v>1540607.1800000004</v>
      </c>
      <c r="BN111" s="5">
        <v>1705836.4400000004</v>
      </c>
      <c r="BO111" s="5">
        <v>1744891.09</v>
      </c>
      <c r="BP111" s="5">
        <v>14020.329999999998</v>
      </c>
      <c r="BQ111" s="5">
        <v>14020.329999999998</v>
      </c>
      <c r="BR111" s="5">
        <v>476750.38000000012</v>
      </c>
      <c r="BS111" s="5">
        <v>476750.38000000012</v>
      </c>
      <c r="BT111" s="5">
        <v>490770.70999999996</v>
      </c>
      <c r="BU111" s="5">
        <v>487778.76999999984</v>
      </c>
      <c r="BV111" s="5">
        <v>487778.76999999984</v>
      </c>
      <c r="BW111" s="5">
        <v>487778.76999999984</v>
      </c>
      <c r="BX111" s="5">
        <v>89787942.030000001</v>
      </c>
      <c r="BY111" s="5">
        <v>84125.55</v>
      </c>
      <c r="BZ111" s="5">
        <v>57471.240000000005</v>
      </c>
    </row>
    <row r="112" spans="4:78">
      <c r="E112" s="11"/>
    </row>
    <row r="113" spans="4:24" s="4" customFormat="1" ht="42">
      <c r="D113" s="15" t="s">
        <v>17</v>
      </c>
      <c r="E113" s="4" t="s">
        <v>16</v>
      </c>
      <c r="F113" s="14" t="s">
        <v>53</v>
      </c>
      <c r="G113" s="23" t="s">
        <v>63</v>
      </c>
      <c r="H113" s="13" t="s">
        <v>56</v>
      </c>
      <c r="I113" s="13" t="s">
        <v>57</v>
      </c>
      <c r="J113" s="13" t="s">
        <v>55</v>
      </c>
      <c r="K113" s="13" t="s">
        <v>24</v>
      </c>
      <c r="L113" s="14" t="s">
        <v>66</v>
      </c>
      <c r="M113" s="23" t="s">
        <v>67</v>
      </c>
      <c r="N113" s="14" t="s">
        <v>68</v>
      </c>
      <c r="O113" s="23" t="s">
        <v>69</v>
      </c>
      <c r="P113" s="13" t="s">
        <v>35</v>
      </c>
      <c r="Q113" s="13" t="s">
        <v>65</v>
      </c>
      <c r="R113" s="13" t="s">
        <v>54</v>
      </c>
      <c r="S113" s="14" t="s">
        <v>36</v>
      </c>
      <c r="T113" s="23" t="s">
        <v>64</v>
      </c>
      <c r="U113" s="24" t="s">
        <v>77</v>
      </c>
      <c r="V113" s="13" t="s">
        <v>81</v>
      </c>
      <c r="X113" s="3"/>
    </row>
    <row r="114" spans="4:24" s="4" customFormat="1">
      <c r="D114" s="27" t="s">
        <v>84</v>
      </c>
      <c r="E114" s="11">
        <f>SUM(E7:E77)</f>
        <v>58087856.449999981</v>
      </c>
      <c r="F114" s="11">
        <f>SUM(F7:F77)</f>
        <v>43696301.86999999</v>
      </c>
      <c r="G114" s="27">
        <f>F114/E114</f>
        <v>0.75224503950515464</v>
      </c>
      <c r="L114" s="11">
        <f>SUM(L7:L77)</f>
        <v>-2.37</v>
      </c>
      <c r="M114" s="27">
        <f>L114/E114</f>
        <v>-4.0800266094170893E-8</v>
      </c>
      <c r="N114" s="11">
        <f>SUM(N7:N77)</f>
        <v>165224.85</v>
      </c>
      <c r="O114" s="27">
        <f>N114/E114</f>
        <v>2.8443957153457683E-3</v>
      </c>
      <c r="U114" s="11">
        <f>SUM(U7:U77)</f>
        <v>14226332.1</v>
      </c>
      <c r="V114" s="28">
        <f>U114/E114</f>
        <v>0.24491060557976579</v>
      </c>
      <c r="X114" s="3"/>
    </row>
    <row r="115" spans="4:24" s="4" customFormat="1">
      <c r="D115" s="27" t="s">
        <v>85</v>
      </c>
      <c r="E115" s="4">
        <f>SUM(E78:E103)</f>
        <v>25006454.010000002</v>
      </c>
      <c r="F115" s="4">
        <f>SUM(F78:F103)</f>
        <v>17003355.719999999</v>
      </c>
      <c r="G115" s="27">
        <f>F115/E115</f>
        <v>0.67995869039250467</v>
      </c>
      <c r="L115" s="4">
        <f>SUM(L78:L103)</f>
        <v>2121821.2700000005</v>
      </c>
      <c r="M115" s="27">
        <f>L115/E115</f>
        <v>8.485094564593168E-2</v>
      </c>
      <c r="N115" s="4">
        <f>SUM(N78:N103)</f>
        <v>2244843.2699999996</v>
      </c>
      <c r="O115" s="27">
        <f>N115/E115</f>
        <v>8.9770555597458709E-2</v>
      </c>
      <c r="U115" s="4">
        <f>SUM(U78:U103)</f>
        <v>3636433.7499999991</v>
      </c>
      <c r="V115" s="28">
        <f>U115/E115</f>
        <v>0.14541980836410476</v>
      </c>
      <c r="X115" s="3"/>
    </row>
  </sheetData>
  <phoneticPr fontId="10" type="noConversion"/>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theme="8" tint="-0.249977111117893"/>
  </sheetPr>
  <dimension ref="A1:BY115"/>
  <sheetViews>
    <sheetView topLeftCell="E1" workbookViewId="0">
      <selection activeCell="U7" sqref="U7"/>
    </sheetView>
  </sheetViews>
  <sheetFormatPr baseColWidth="10" defaultColWidth="8.83203125" defaultRowHeight="14" x14ac:dyDescent="0"/>
  <cols>
    <col min="1" max="1" width="36.33203125" bestFit="1" customWidth="1"/>
    <col min="3" max="3" width="8.83203125" style="4"/>
    <col min="4" max="4" width="14.83203125" style="3" bestFit="1" customWidth="1"/>
    <col min="5" max="5" width="11.1640625" style="4" bestFit="1" customWidth="1"/>
    <col min="6" max="6" width="11.1640625" style="4" customWidth="1"/>
    <col min="7" max="7" width="16.6640625" style="4" customWidth="1"/>
    <col min="8" max="8" width="12.1640625" style="4" customWidth="1"/>
    <col min="9" max="9" width="12" style="4" customWidth="1"/>
    <col min="10" max="12" width="8.83203125" style="4"/>
    <col min="13" max="13" width="13.83203125" style="4" customWidth="1"/>
    <col min="14" max="14" width="12.83203125" style="4" customWidth="1"/>
    <col min="15" max="15" width="13.5" style="4" customWidth="1"/>
    <col min="16" max="16" width="8.83203125" style="4"/>
    <col min="17" max="17" width="12.5" style="4" customWidth="1"/>
    <col min="18" max="19" width="8.83203125" style="4"/>
    <col min="20" max="20" width="14.83203125" style="4" customWidth="1"/>
    <col min="21" max="21" width="13.33203125" style="4" bestFit="1" customWidth="1"/>
    <col min="22" max="22" width="13.33203125" style="11" customWidth="1"/>
    <col min="24" max="24" width="10.6640625" style="3" bestFit="1" customWidth="1"/>
    <col min="51" max="51" width="21.83203125" bestFit="1" customWidth="1"/>
    <col min="66" max="66" width="33.83203125" bestFit="1" customWidth="1"/>
    <col min="67" max="67" width="17.5" bestFit="1" customWidth="1"/>
    <col min="68" max="68" width="11.83203125" bestFit="1" customWidth="1"/>
    <col min="69" max="69" width="16.83203125" bestFit="1" customWidth="1"/>
    <col min="70" max="70" width="38.83203125" bestFit="1" customWidth="1"/>
    <col min="71" max="71" width="28.6640625" bestFit="1" customWidth="1"/>
    <col min="72" max="72" width="10" bestFit="1" customWidth="1"/>
    <col min="73" max="73" width="16.83203125" bestFit="1" customWidth="1"/>
    <col min="74" max="74" width="33.83203125" bestFit="1" customWidth="1"/>
  </cols>
  <sheetData>
    <row r="1" spans="1:77" ht="15" thickBot="1">
      <c r="A1" s="4" t="s">
        <v>37</v>
      </c>
      <c r="B1" s="3"/>
      <c r="C1" s="3"/>
      <c r="E1" s="11"/>
      <c r="F1" s="11"/>
      <c r="G1" s="11"/>
      <c r="H1" s="11"/>
      <c r="I1" s="11"/>
      <c r="J1" s="11"/>
      <c r="K1" s="11"/>
      <c r="L1" s="11"/>
      <c r="M1" s="11"/>
      <c r="N1" s="11"/>
      <c r="O1" s="11"/>
      <c r="P1" s="11"/>
      <c r="Q1" s="11"/>
      <c r="R1" s="11"/>
      <c r="S1" s="11"/>
      <c r="T1" s="11"/>
      <c r="U1" s="11"/>
      <c r="Y1" t="s">
        <v>0</v>
      </c>
      <c r="AE1" t="s">
        <v>18</v>
      </c>
      <c r="AF1" t="s">
        <v>2</v>
      </c>
      <c r="AY1" t="s">
        <v>19</v>
      </c>
      <c r="AZ1" t="s">
        <v>7</v>
      </c>
      <c r="BG1" t="s">
        <v>20</v>
      </c>
      <c r="BH1" t="s">
        <v>10</v>
      </c>
      <c r="BM1" t="s">
        <v>21</v>
      </c>
      <c r="BN1" t="s">
        <v>12</v>
      </c>
      <c r="BR1" t="s">
        <v>22</v>
      </c>
      <c r="BS1" t="s">
        <v>11</v>
      </c>
      <c r="BV1" t="s">
        <v>23</v>
      </c>
      <c r="BW1" t="s">
        <v>16</v>
      </c>
      <c r="BX1" s="11" t="s">
        <v>80</v>
      </c>
      <c r="BY1" s="11" t="s">
        <v>78</v>
      </c>
    </row>
    <row r="2" spans="1:77" ht="16" thickTop="1" thickBot="1">
      <c r="A2" s="4"/>
      <c r="B2" s="4"/>
      <c r="E2" s="16"/>
      <c r="F2" s="16"/>
      <c r="G2" s="11"/>
      <c r="H2" s="16"/>
      <c r="I2" s="16"/>
      <c r="J2" s="11"/>
      <c r="K2" s="16"/>
      <c r="N2" s="16"/>
      <c r="O2" s="11"/>
      <c r="P2" s="11"/>
      <c r="Q2" s="11"/>
      <c r="R2" s="11"/>
      <c r="S2" s="11"/>
      <c r="T2" s="11"/>
      <c r="U2" s="16"/>
      <c r="V2" s="16"/>
      <c r="Y2" t="s">
        <v>1</v>
      </c>
      <c r="AB2" t="s">
        <v>47</v>
      </c>
      <c r="AC2" t="s">
        <v>3</v>
      </c>
      <c r="AD2" t="s">
        <v>48</v>
      </c>
      <c r="AF2" t="s">
        <v>1</v>
      </c>
      <c r="AI2" t="s">
        <v>47</v>
      </c>
      <c r="AJ2" t="s">
        <v>3</v>
      </c>
      <c r="AM2" t="s">
        <v>48</v>
      </c>
      <c r="AN2" t="s">
        <v>4</v>
      </c>
      <c r="AQ2" t="s">
        <v>49</v>
      </c>
      <c r="AR2" t="s">
        <v>5</v>
      </c>
      <c r="AT2" t="s">
        <v>50</v>
      </c>
      <c r="AU2" t="s">
        <v>6</v>
      </c>
      <c r="AX2" t="s">
        <v>51</v>
      </c>
      <c r="AZ2" t="s">
        <v>1</v>
      </c>
      <c r="BC2" t="s">
        <v>47</v>
      </c>
      <c r="BD2" t="s">
        <v>3</v>
      </c>
      <c r="BF2" t="s">
        <v>48</v>
      </c>
      <c r="BH2" t="s">
        <v>1</v>
      </c>
      <c r="BI2" t="s">
        <v>47</v>
      </c>
      <c r="BJ2" t="s">
        <v>3</v>
      </c>
      <c r="BL2" t="s">
        <v>48</v>
      </c>
      <c r="BN2" t="s">
        <v>1</v>
      </c>
      <c r="BO2" t="s">
        <v>47</v>
      </c>
      <c r="BP2" t="s">
        <v>3</v>
      </c>
      <c r="BQ2" t="s">
        <v>48</v>
      </c>
      <c r="BS2" t="s">
        <v>3</v>
      </c>
      <c r="BU2" t="s">
        <v>48</v>
      </c>
      <c r="BX2" s="11" t="s">
        <v>9</v>
      </c>
      <c r="BY2" s="11" t="s">
        <v>9</v>
      </c>
    </row>
    <row r="3" spans="1:77" ht="43" thickTop="1">
      <c r="A3" s="5" t="s">
        <v>26</v>
      </c>
      <c r="B3" s="4"/>
      <c r="D3" s="15" t="s">
        <v>17</v>
      </c>
      <c r="E3" s="4" t="s">
        <v>16</v>
      </c>
      <c r="F3" s="14" t="s">
        <v>53</v>
      </c>
      <c r="G3" s="23" t="s">
        <v>63</v>
      </c>
      <c r="H3" s="13" t="s">
        <v>56</v>
      </c>
      <c r="I3" s="13" t="s">
        <v>57</v>
      </c>
      <c r="J3" s="13" t="s">
        <v>55</v>
      </c>
      <c r="K3" s="13" t="s">
        <v>24</v>
      </c>
      <c r="L3" s="14" t="s">
        <v>66</v>
      </c>
      <c r="M3" s="23" t="s">
        <v>67</v>
      </c>
      <c r="N3" s="14" t="s">
        <v>68</v>
      </c>
      <c r="O3" s="23" t="s">
        <v>69</v>
      </c>
      <c r="P3" s="13" t="s">
        <v>35</v>
      </c>
      <c r="Q3" s="13" t="s">
        <v>65</v>
      </c>
      <c r="R3" s="13" t="s">
        <v>54</v>
      </c>
      <c r="S3" s="14" t="s">
        <v>36</v>
      </c>
      <c r="T3" s="23" t="s">
        <v>64</v>
      </c>
      <c r="U3" s="24" t="s">
        <v>77</v>
      </c>
      <c r="V3" s="13" t="s">
        <v>81</v>
      </c>
      <c r="X3" s="4" t="s">
        <v>17</v>
      </c>
      <c r="Y3">
        <v>2013</v>
      </c>
      <c r="Z3">
        <v>2014</v>
      </c>
      <c r="AA3">
        <v>2015</v>
      </c>
      <c r="AC3">
        <v>2015</v>
      </c>
      <c r="AF3">
        <v>2013</v>
      </c>
      <c r="AG3">
        <v>2014</v>
      </c>
      <c r="AH3">
        <v>2015</v>
      </c>
      <c r="AJ3">
        <v>2013</v>
      </c>
      <c r="AK3">
        <v>2014</v>
      </c>
      <c r="AL3">
        <v>2015</v>
      </c>
      <c r="AN3">
        <v>2013</v>
      </c>
      <c r="AO3">
        <v>2014</v>
      </c>
      <c r="AP3">
        <v>2015</v>
      </c>
      <c r="AR3">
        <v>2013</v>
      </c>
      <c r="AS3">
        <v>2014</v>
      </c>
      <c r="AU3">
        <v>2013</v>
      </c>
      <c r="AV3">
        <v>2014</v>
      </c>
      <c r="AW3">
        <v>2015</v>
      </c>
      <c r="AZ3">
        <v>2013</v>
      </c>
      <c r="BA3">
        <v>2014</v>
      </c>
      <c r="BB3">
        <v>2015</v>
      </c>
      <c r="BD3">
        <v>2014</v>
      </c>
      <c r="BE3">
        <v>2015</v>
      </c>
      <c r="BH3">
        <v>2015</v>
      </c>
      <c r="BJ3">
        <v>2014</v>
      </c>
      <c r="BK3">
        <v>2015</v>
      </c>
      <c r="BN3">
        <v>2015</v>
      </c>
      <c r="BP3">
        <v>2015</v>
      </c>
      <c r="BS3">
        <v>2014</v>
      </c>
      <c r="BT3">
        <v>2015</v>
      </c>
      <c r="BX3" s="11">
        <v>2015</v>
      </c>
      <c r="BY3" s="11" t="s">
        <v>79</v>
      </c>
    </row>
    <row r="4" spans="1:77">
      <c r="A4" s="4" t="s">
        <v>27</v>
      </c>
      <c r="B4" s="17">
        <v>71</v>
      </c>
      <c r="C4" s="17"/>
      <c r="D4" s="3">
        <v>41519</v>
      </c>
      <c r="E4" s="11">
        <f>BW4</f>
        <v>63977.599999999984</v>
      </c>
      <c r="F4" s="4">
        <f>AY4</f>
        <v>41791.899999999994</v>
      </c>
      <c r="G4" s="4">
        <f>F4/E4</f>
        <v>0.6532270669734408</v>
      </c>
      <c r="H4" s="4">
        <f t="shared" ref="H4:H67" si="0">AB4-Z4-Y4-BX4</f>
        <v>0</v>
      </c>
      <c r="I4" s="4">
        <f t="shared" ref="I4:I67" si="1">BC4-BA4-AZ4-BY4</f>
        <v>0</v>
      </c>
      <c r="J4" s="4">
        <f>SUM(H4:I4)</f>
        <v>0</v>
      </c>
      <c r="K4" s="4">
        <f>SUM(AD4,BF4)</f>
        <v>0</v>
      </c>
      <c r="L4" s="4">
        <f>SUM(J4:K4)</f>
        <v>0</v>
      </c>
      <c r="M4" s="4">
        <f>L4/E4</f>
        <v>0</v>
      </c>
      <c r="N4" s="4">
        <f>SUM(BM4,BR4,BV4)</f>
        <v>0</v>
      </c>
      <c r="O4" s="4">
        <f>N4/E4</f>
        <v>0</v>
      </c>
      <c r="P4" s="4">
        <f>SUM(F4,N4)</f>
        <v>41791.899999999994</v>
      </c>
      <c r="Q4" s="4">
        <f t="shared" ref="Q4:Q35" si="2">P4/E4</f>
        <v>0.6532270669734408</v>
      </c>
      <c r="U4" s="11">
        <f>E4-SUM(F4,L4,N4)</f>
        <v>22185.69999999999</v>
      </c>
      <c r="V4" s="11">
        <f>U4/E4</f>
        <v>0.3467729330265592</v>
      </c>
      <c r="X4" s="3">
        <v>41519</v>
      </c>
      <c r="Y4">
        <v>2600.88</v>
      </c>
      <c r="AB4">
        <v>2600.88</v>
      </c>
      <c r="AE4">
        <v>2600.88</v>
      </c>
      <c r="AF4">
        <v>21203.03</v>
      </c>
      <c r="AI4">
        <v>21203.03</v>
      </c>
      <c r="AJ4">
        <v>11557.06</v>
      </c>
      <c r="AM4">
        <v>11557.06</v>
      </c>
      <c r="AN4">
        <v>6122.39</v>
      </c>
      <c r="AQ4">
        <v>6122.39</v>
      </c>
      <c r="AR4">
        <v>149.1</v>
      </c>
      <c r="AT4">
        <v>149.1</v>
      </c>
      <c r="AU4">
        <v>2760.32</v>
      </c>
      <c r="AX4">
        <v>2760.32</v>
      </c>
      <c r="AY4">
        <v>41791.899999999994</v>
      </c>
      <c r="AZ4">
        <v>2210.09</v>
      </c>
      <c r="BC4">
        <v>2210.09</v>
      </c>
      <c r="BG4">
        <v>2210.09</v>
      </c>
      <c r="BW4">
        <v>63977.599999999984</v>
      </c>
      <c r="BX4" s="1"/>
      <c r="BY4" s="1"/>
    </row>
    <row r="5" spans="1:77">
      <c r="A5" s="4" t="s">
        <v>28</v>
      </c>
      <c r="B5" s="17">
        <v>71</v>
      </c>
      <c r="C5" s="17"/>
      <c r="D5" s="3">
        <v>41526</v>
      </c>
      <c r="E5" s="11">
        <f t="shared" ref="E5:E68" si="3">BW5</f>
        <v>290969.67</v>
      </c>
      <c r="F5" s="4">
        <f t="shared" ref="F5:F68" si="4">AY5</f>
        <v>190660.85</v>
      </c>
      <c r="G5" s="4">
        <f t="shared" ref="G5:G68" si="5">F5/E5</f>
        <v>0.6552602200772335</v>
      </c>
      <c r="H5" s="4">
        <f t="shared" si="0"/>
        <v>0</v>
      </c>
      <c r="I5" s="4">
        <f t="shared" si="1"/>
        <v>0</v>
      </c>
      <c r="J5" s="4">
        <f t="shared" ref="J5:J68" si="6">SUM(H5:I5)</f>
        <v>0</v>
      </c>
      <c r="K5" s="4">
        <f t="shared" ref="K5:K68" si="7">SUM(AD5,BF5)</f>
        <v>0</v>
      </c>
      <c r="L5" s="4">
        <f t="shared" ref="L5:L68" si="8">SUM(J5:K5)</f>
        <v>0</v>
      </c>
      <c r="M5" s="4">
        <f t="shared" ref="M5:M68" si="9">L5/E5</f>
        <v>0</v>
      </c>
      <c r="N5" s="4">
        <f t="shared" ref="N5:N68" si="10">SUM(BM5,BR5,BV5)</f>
        <v>0</v>
      </c>
      <c r="O5" s="4">
        <f t="shared" ref="O5:O68" si="11">N5/E5</f>
        <v>0</v>
      </c>
      <c r="P5" s="4">
        <f t="shared" ref="P5:P68" si="12">SUM(F5,N5)</f>
        <v>190660.85</v>
      </c>
      <c r="Q5" s="4">
        <f t="shared" si="2"/>
        <v>0.6552602200772335</v>
      </c>
      <c r="U5" s="11">
        <f t="shared" ref="U5:U68" si="13">E5-SUM(F5,L5,N5)</f>
        <v>100308.81999999998</v>
      </c>
      <c r="V5" s="11">
        <f t="shared" ref="V5:V68" si="14">U5/E5</f>
        <v>0.34473977992276644</v>
      </c>
      <c r="X5" s="3">
        <v>41526</v>
      </c>
      <c r="Y5">
        <v>12733.7</v>
      </c>
      <c r="AB5">
        <v>12733.7</v>
      </c>
      <c r="AE5">
        <v>12733.7</v>
      </c>
      <c r="AF5">
        <v>100384.47</v>
      </c>
      <c r="AI5">
        <v>100384.47</v>
      </c>
      <c r="AJ5">
        <v>49734.1</v>
      </c>
      <c r="AM5">
        <v>49734.1</v>
      </c>
      <c r="AN5">
        <v>27488.240000000002</v>
      </c>
      <c r="AQ5">
        <v>27488.240000000002</v>
      </c>
      <c r="AR5">
        <v>726.28</v>
      </c>
      <c r="AT5">
        <v>726.28</v>
      </c>
      <c r="AU5">
        <v>12327.76</v>
      </c>
      <c r="AX5">
        <v>12327.76</v>
      </c>
      <c r="AY5">
        <v>190660.85</v>
      </c>
      <c r="AZ5">
        <v>10293.77</v>
      </c>
      <c r="BC5">
        <v>10293.77</v>
      </c>
      <c r="BG5">
        <v>10293.77</v>
      </c>
      <c r="BW5">
        <v>290969.67</v>
      </c>
      <c r="BX5" s="1"/>
      <c r="BY5" s="1"/>
    </row>
    <row r="6" spans="1:77">
      <c r="A6" s="4" t="s">
        <v>29</v>
      </c>
      <c r="B6" s="17">
        <v>32.64</v>
      </c>
      <c r="C6" s="17"/>
      <c r="D6" s="3">
        <v>41533</v>
      </c>
      <c r="E6" s="11">
        <f t="shared" si="3"/>
        <v>270994.42000000004</v>
      </c>
      <c r="F6" s="4">
        <f t="shared" si="4"/>
        <v>175886.91</v>
      </c>
      <c r="G6" s="4">
        <f t="shared" si="5"/>
        <v>0.64904255224148144</v>
      </c>
      <c r="H6" s="4">
        <f t="shared" si="0"/>
        <v>0</v>
      </c>
      <c r="I6" s="4">
        <f t="shared" si="1"/>
        <v>0</v>
      </c>
      <c r="J6" s="4">
        <f t="shared" si="6"/>
        <v>0</v>
      </c>
      <c r="K6" s="4">
        <f t="shared" si="7"/>
        <v>0</v>
      </c>
      <c r="L6" s="4">
        <f t="shared" si="8"/>
        <v>0</v>
      </c>
      <c r="M6" s="4">
        <f t="shared" si="9"/>
        <v>0</v>
      </c>
      <c r="N6" s="4">
        <f t="shared" si="10"/>
        <v>0</v>
      </c>
      <c r="O6" s="4">
        <f t="shared" si="11"/>
        <v>0</v>
      </c>
      <c r="P6" s="4">
        <f t="shared" si="12"/>
        <v>175886.91</v>
      </c>
      <c r="Q6" s="4">
        <f t="shared" si="2"/>
        <v>0.64904255224148144</v>
      </c>
      <c r="U6" s="11">
        <f t="shared" si="13"/>
        <v>95107.510000000038</v>
      </c>
      <c r="V6" s="11">
        <f t="shared" si="14"/>
        <v>0.3509574477585185</v>
      </c>
      <c r="X6" s="3">
        <v>41533</v>
      </c>
      <c r="Y6">
        <v>12181.56</v>
      </c>
      <c r="AB6">
        <v>12181.56</v>
      </c>
      <c r="AE6">
        <v>12181.56</v>
      </c>
      <c r="AF6">
        <v>89565.49</v>
      </c>
      <c r="AI6">
        <v>89565.49</v>
      </c>
      <c r="AJ6">
        <v>46505.37</v>
      </c>
      <c r="AM6">
        <v>46505.37</v>
      </c>
      <c r="AN6">
        <v>27094.55</v>
      </c>
      <c r="AQ6">
        <v>27094.55</v>
      </c>
      <c r="AR6">
        <v>646.70000000000005</v>
      </c>
      <c r="AT6">
        <v>646.70000000000005</v>
      </c>
      <c r="AU6">
        <v>12074.8</v>
      </c>
      <c r="AX6">
        <v>12074.8</v>
      </c>
      <c r="AY6">
        <v>175886.91</v>
      </c>
      <c r="AZ6">
        <v>10242.879999999999</v>
      </c>
      <c r="BC6">
        <v>10242.879999999999</v>
      </c>
      <c r="BG6">
        <v>10242.879999999999</v>
      </c>
      <c r="BW6">
        <v>270994.42000000004</v>
      </c>
      <c r="BX6" s="1"/>
      <c r="BY6" s="1"/>
    </row>
    <row r="7" spans="1:77">
      <c r="A7" s="4" t="s">
        <v>30</v>
      </c>
      <c r="B7" s="17" t="s">
        <v>31</v>
      </c>
      <c r="C7" s="17"/>
      <c r="D7" s="3">
        <v>41540</v>
      </c>
      <c r="E7" s="11">
        <f t="shared" si="3"/>
        <v>257261.79</v>
      </c>
      <c r="F7" s="4">
        <f t="shared" si="4"/>
        <v>167988.68</v>
      </c>
      <c r="G7" s="4">
        <f t="shared" si="5"/>
        <v>0.65298729360469732</v>
      </c>
      <c r="H7" s="4">
        <f t="shared" si="0"/>
        <v>0</v>
      </c>
      <c r="I7" s="4">
        <f t="shared" si="1"/>
        <v>0</v>
      </c>
      <c r="J7" s="4">
        <f t="shared" si="6"/>
        <v>0</v>
      </c>
      <c r="K7" s="4">
        <f t="shared" si="7"/>
        <v>0</v>
      </c>
      <c r="L7" s="4">
        <f t="shared" si="8"/>
        <v>0</v>
      </c>
      <c r="M7" s="4">
        <f t="shared" si="9"/>
        <v>0</v>
      </c>
      <c r="N7" s="4">
        <f t="shared" si="10"/>
        <v>0</v>
      </c>
      <c r="O7" s="4">
        <f t="shared" si="11"/>
        <v>0</v>
      </c>
      <c r="P7" s="4">
        <f t="shared" si="12"/>
        <v>167988.68</v>
      </c>
      <c r="Q7" s="4">
        <f t="shared" si="2"/>
        <v>0.65298729360469732</v>
      </c>
      <c r="R7" s="4">
        <v>1</v>
      </c>
      <c r="S7" s="4">
        <f t="shared" ref="S7:S38" si="15">T7*E7</f>
        <v>166786.2940637829</v>
      </c>
      <c r="T7" s="4">
        <f t="shared" ref="T7" si="16">$B$9+$B$10*R7</f>
        <v>0.64831351000000004</v>
      </c>
      <c r="U7" s="11">
        <f t="shared" si="13"/>
        <v>89273.110000000015</v>
      </c>
      <c r="V7" s="11">
        <f t="shared" si="14"/>
        <v>0.34701270639530268</v>
      </c>
      <c r="X7" s="3">
        <v>41540</v>
      </c>
      <c r="Y7">
        <v>11195.73</v>
      </c>
      <c r="AB7">
        <v>11195.73</v>
      </c>
      <c r="AE7">
        <v>11195.73</v>
      </c>
      <c r="AF7">
        <v>81629.87</v>
      </c>
      <c r="AI7">
        <v>81629.87</v>
      </c>
      <c r="AJ7">
        <v>45115.38</v>
      </c>
      <c r="AM7">
        <v>45115.38</v>
      </c>
      <c r="AN7">
        <v>28702.34</v>
      </c>
      <c r="AQ7">
        <v>28702.34</v>
      </c>
      <c r="AR7">
        <v>704.68</v>
      </c>
      <c r="AT7">
        <v>704.68</v>
      </c>
      <c r="AU7">
        <v>11836.41</v>
      </c>
      <c r="AX7">
        <v>11836.41</v>
      </c>
      <c r="AY7">
        <v>167988.68</v>
      </c>
      <c r="AZ7">
        <v>9238.69</v>
      </c>
      <c r="BC7">
        <v>9238.69</v>
      </c>
      <c r="BG7">
        <v>9238.69</v>
      </c>
      <c r="BW7">
        <v>257261.79</v>
      </c>
      <c r="BX7" s="1"/>
      <c r="BY7" s="1"/>
    </row>
    <row r="8" spans="1:77">
      <c r="A8" s="4" t="s">
        <v>32</v>
      </c>
      <c r="B8" s="17">
        <v>0.3211</v>
      </c>
      <c r="C8" s="17"/>
      <c r="D8" s="3">
        <v>41547</v>
      </c>
      <c r="E8" s="11">
        <f t="shared" si="3"/>
        <v>247451.67999999993</v>
      </c>
      <c r="F8" s="4">
        <f t="shared" si="4"/>
        <v>161274.41999999998</v>
      </c>
      <c r="G8" s="4">
        <f t="shared" si="5"/>
        <v>0.6517410591029329</v>
      </c>
      <c r="H8" s="4">
        <f t="shared" si="0"/>
        <v>0</v>
      </c>
      <c r="I8" s="4">
        <f t="shared" si="1"/>
        <v>0</v>
      </c>
      <c r="J8" s="4">
        <f t="shared" si="6"/>
        <v>0</v>
      </c>
      <c r="K8" s="4">
        <f t="shared" si="7"/>
        <v>0</v>
      </c>
      <c r="L8" s="4">
        <f t="shared" si="8"/>
        <v>0</v>
      </c>
      <c r="M8" s="4">
        <f t="shared" si="9"/>
        <v>0</v>
      </c>
      <c r="N8" s="4">
        <f t="shared" si="10"/>
        <v>0</v>
      </c>
      <c r="O8" s="4">
        <f t="shared" si="11"/>
        <v>0</v>
      </c>
      <c r="P8" s="4">
        <f t="shared" si="12"/>
        <v>161274.41999999998</v>
      </c>
      <c r="Q8" s="4">
        <f t="shared" si="2"/>
        <v>0.6517410591029329</v>
      </c>
      <c r="R8" s="4">
        <v>2</v>
      </c>
      <c r="S8" s="4">
        <f t="shared" si="15"/>
        <v>160496.42224199354</v>
      </c>
      <c r="T8" s="4">
        <f t="shared" ref="T8:T69" si="17">$B$9+$B$10*R8</f>
        <v>0.64859701999999997</v>
      </c>
      <c r="U8" s="11">
        <f t="shared" si="13"/>
        <v>86177.259999999951</v>
      </c>
      <c r="V8" s="11">
        <f t="shared" si="14"/>
        <v>0.34825894089706716</v>
      </c>
      <c r="X8" s="3">
        <v>41547</v>
      </c>
      <c r="Y8">
        <v>10472.620000000001</v>
      </c>
      <c r="AB8">
        <v>10472.620000000001</v>
      </c>
      <c r="AE8">
        <v>10472.620000000001</v>
      </c>
      <c r="AF8">
        <v>77468.3</v>
      </c>
      <c r="AI8">
        <v>77468.3</v>
      </c>
      <c r="AJ8">
        <v>47433.14</v>
      </c>
      <c r="AM8">
        <v>47433.14</v>
      </c>
      <c r="AN8">
        <v>24680.28</v>
      </c>
      <c r="AQ8">
        <v>24680.28</v>
      </c>
      <c r="AR8">
        <v>630.84</v>
      </c>
      <c r="AT8">
        <v>630.84</v>
      </c>
      <c r="AU8">
        <v>11061.86</v>
      </c>
      <c r="AX8">
        <v>11061.86</v>
      </c>
      <c r="AY8">
        <v>161274.41999999998</v>
      </c>
      <c r="AZ8">
        <v>8665.31</v>
      </c>
      <c r="BC8">
        <v>8665.31</v>
      </c>
      <c r="BG8">
        <v>8665.31</v>
      </c>
      <c r="BW8">
        <v>247451.67999999993</v>
      </c>
      <c r="BX8" s="1"/>
      <c r="BY8" s="1"/>
    </row>
    <row r="9" spans="1:77">
      <c r="A9" s="18" t="s">
        <v>33</v>
      </c>
      <c r="B9" s="19">
        <v>0.64802999999999999</v>
      </c>
      <c r="C9" s="17"/>
      <c r="D9" s="3">
        <v>41554</v>
      </c>
      <c r="E9" s="11">
        <f t="shared" si="3"/>
        <v>266977.02</v>
      </c>
      <c r="F9" s="4">
        <f t="shared" si="4"/>
        <v>174275.14999999997</v>
      </c>
      <c r="G9" s="4">
        <f t="shared" si="5"/>
        <v>0.65277210001070485</v>
      </c>
      <c r="H9" s="4">
        <f t="shared" si="0"/>
        <v>0</v>
      </c>
      <c r="I9" s="4">
        <f t="shared" si="1"/>
        <v>0</v>
      </c>
      <c r="J9" s="4">
        <f t="shared" si="6"/>
        <v>0</v>
      </c>
      <c r="K9" s="4">
        <f t="shared" si="7"/>
        <v>0</v>
      </c>
      <c r="L9" s="4">
        <f t="shared" si="8"/>
        <v>0</v>
      </c>
      <c r="M9" s="4">
        <f t="shared" si="9"/>
        <v>0</v>
      </c>
      <c r="N9" s="4">
        <f t="shared" si="10"/>
        <v>0</v>
      </c>
      <c r="O9" s="4">
        <f t="shared" si="11"/>
        <v>0</v>
      </c>
      <c r="P9" s="4">
        <f t="shared" si="12"/>
        <v>174275.14999999997</v>
      </c>
      <c r="Q9" s="4">
        <f t="shared" si="2"/>
        <v>0.65277210001070485</v>
      </c>
      <c r="R9" s="4">
        <v>3</v>
      </c>
      <c r="S9" s="4">
        <f t="shared" si="15"/>
        <v>173236.19023542062</v>
      </c>
      <c r="T9" s="4">
        <f t="shared" si="17"/>
        <v>0.64888053000000001</v>
      </c>
      <c r="U9" s="11">
        <f t="shared" si="13"/>
        <v>92701.870000000054</v>
      </c>
      <c r="V9" s="11">
        <f t="shared" si="14"/>
        <v>0.34722789998929515</v>
      </c>
      <c r="X9" s="3">
        <v>41554</v>
      </c>
      <c r="Y9">
        <v>11667.97</v>
      </c>
      <c r="AB9">
        <v>11667.97</v>
      </c>
      <c r="AE9">
        <v>11667.97</v>
      </c>
      <c r="AF9">
        <v>90131.12</v>
      </c>
      <c r="AI9">
        <v>90131.12</v>
      </c>
      <c r="AJ9">
        <v>47359.56</v>
      </c>
      <c r="AM9">
        <v>47359.56</v>
      </c>
      <c r="AN9">
        <v>24352.71</v>
      </c>
      <c r="AQ9">
        <v>24352.71</v>
      </c>
      <c r="AR9">
        <v>691.15</v>
      </c>
      <c r="AT9">
        <v>691.15</v>
      </c>
      <c r="AU9">
        <v>11740.61</v>
      </c>
      <c r="AX9">
        <v>11740.61</v>
      </c>
      <c r="AY9">
        <v>174275.14999999997</v>
      </c>
      <c r="AZ9">
        <v>9688.83</v>
      </c>
      <c r="BC9">
        <v>9688.83</v>
      </c>
      <c r="BG9">
        <v>9688.83</v>
      </c>
      <c r="BW9">
        <v>266977.02</v>
      </c>
      <c r="BX9" s="1"/>
      <c r="BY9" s="1"/>
    </row>
    <row r="10" spans="1:77">
      <c r="A10" s="18" t="s">
        <v>34</v>
      </c>
      <c r="B10" s="19">
        <v>2.8351E-4</v>
      </c>
      <c r="C10" s="17"/>
      <c r="D10" s="3">
        <v>41561</v>
      </c>
      <c r="E10" s="11">
        <f t="shared" si="3"/>
        <v>259980.38000000003</v>
      </c>
      <c r="F10" s="4">
        <f t="shared" si="4"/>
        <v>170870.82</v>
      </c>
      <c r="G10" s="4">
        <f t="shared" si="5"/>
        <v>0.65724505826170421</v>
      </c>
      <c r="H10" s="4">
        <f t="shared" si="0"/>
        <v>0</v>
      </c>
      <c r="I10" s="4">
        <f t="shared" si="1"/>
        <v>0</v>
      </c>
      <c r="J10" s="4">
        <f t="shared" si="6"/>
        <v>0</v>
      </c>
      <c r="K10" s="4">
        <f t="shared" si="7"/>
        <v>0</v>
      </c>
      <c r="L10" s="4">
        <f t="shared" si="8"/>
        <v>0</v>
      </c>
      <c r="M10" s="4">
        <f t="shared" si="9"/>
        <v>0</v>
      </c>
      <c r="N10" s="4">
        <f t="shared" si="10"/>
        <v>0</v>
      </c>
      <c r="O10" s="4">
        <f t="shared" si="11"/>
        <v>0</v>
      </c>
      <c r="P10" s="4">
        <f t="shared" si="12"/>
        <v>170870.82</v>
      </c>
      <c r="Q10" s="4">
        <f t="shared" si="2"/>
        <v>0.65724505826170421</v>
      </c>
      <c r="R10" s="4">
        <v>4</v>
      </c>
      <c r="S10" s="4">
        <f t="shared" si="15"/>
        <v>168769.91380153521</v>
      </c>
      <c r="T10" s="4">
        <f t="shared" si="17"/>
        <v>0.64916403999999994</v>
      </c>
      <c r="U10" s="11">
        <f t="shared" si="13"/>
        <v>89109.560000000027</v>
      </c>
      <c r="V10" s="11">
        <f t="shared" si="14"/>
        <v>0.34275494173829585</v>
      </c>
      <c r="X10" s="3">
        <v>41561</v>
      </c>
      <c r="Y10">
        <v>11139.7</v>
      </c>
      <c r="AB10">
        <v>11139.7</v>
      </c>
      <c r="AE10">
        <v>11139.7</v>
      </c>
      <c r="AF10">
        <v>88308.34</v>
      </c>
      <c r="AI10">
        <v>88308.34</v>
      </c>
      <c r="AJ10">
        <v>45866.239999999998</v>
      </c>
      <c r="AM10">
        <v>45866.239999999998</v>
      </c>
      <c r="AN10">
        <v>24159.01</v>
      </c>
      <c r="AQ10">
        <v>24159.01</v>
      </c>
      <c r="AR10">
        <v>663.76</v>
      </c>
      <c r="AT10">
        <v>663.76</v>
      </c>
      <c r="AU10">
        <v>11873.47</v>
      </c>
      <c r="AX10">
        <v>11873.47</v>
      </c>
      <c r="AY10">
        <v>170870.82</v>
      </c>
      <c r="AZ10">
        <v>9048.77</v>
      </c>
      <c r="BC10">
        <v>9048.77</v>
      </c>
      <c r="BG10">
        <v>9048.77</v>
      </c>
      <c r="BW10">
        <v>259980.38000000003</v>
      </c>
      <c r="BX10" s="1"/>
      <c r="BY10" s="1"/>
    </row>
    <row r="11" spans="1:77">
      <c r="A11" s="4"/>
      <c r="B11" s="17"/>
      <c r="C11" s="17"/>
      <c r="D11" s="3">
        <v>41568</v>
      </c>
      <c r="E11" s="11">
        <f t="shared" si="3"/>
        <v>276847.87999999995</v>
      </c>
      <c r="F11" s="4">
        <f t="shared" si="4"/>
        <v>179706.68</v>
      </c>
      <c r="G11" s="4">
        <f t="shared" si="5"/>
        <v>0.64911705301843026</v>
      </c>
      <c r="H11" s="4">
        <f t="shared" si="0"/>
        <v>0</v>
      </c>
      <c r="I11" s="4">
        <f t="shared" si="1"/>
        <v>0</v>
      </c>
      <c r="J11" s="4">
        <f t="shared" si="6"/>
        <v>0</v>
      </c>
      <c r="K11" s="4">
        <f t="shared" si="7"/>
        <v>0</v>
      </c>
      <c r="L11" s="4">
        <f t="shared" si="8"/>
        <v>0</v>
      </c>
      <c r="M11" s="4">
        <f t="shared" si="9"/>
        <v>0</v>
      </c>
      <c r="N11" s="4">
        <f t="shared" si="10"/>
        <v>0</v>
      </c>
      <c r="O11" s="4">
        <f t="shared" si="11"/>
        <v>0</v>
      </c>
      <c r="P11" s="4">
        <f t="shared" si="12"/>
        <v>179706.68</v>
      </c>
      <c r="Q11" s="4">
        <f t="shared" si="2"/>
        <v>0.64911705301843026</v>
      </c>
      <c r="R11" s="4">
        <v>5</v>
      </c>
      <c r="S11" s="4">
        <f t="shared" si="15"/>
        <v>179798.17738869396</v>
      </c>
      <c r="T11" s="4">
        <f t="shared" si="17"/>
        <v>0.64944754999999998</v>
      </c>
      <c r="U11" s="11">
        <f t="shared" si="13"/>
        <v>97141.199999999953</v>
      </c>
      <c r="V11" s="11">
        <f t="shared" si="14"/>
        <v>0.35088294698156969</v>
      </c>
      <c r="X11" s="3">
        <v>41568</v>
      </c>
      <c r="Y11">
        <v>12048.39</v>
      </c>
      <c r="AB11">
        <v>12048.39</v>
      </c>
      <c r="AE11">
        <v>12048.39</v>
      </c>
      <c r="AF11">
        <v>99634.15</v>
      </c>
      <c r="AI11">
        <v>99634.15</v>
      </c>
      <c r="AJ11">
        <v>44979.59</v>
      </c>
      <c r="AM11">
        <v>44979.59</v>
      </c>
      <c r="AN11">
        <v>23059.93</v>
      </c>
      <c r="AQ11">
        <v>23059.93</v>
      </c>
      <c r="AR11">
        <v>775.12</v>
      </c>
      <c r="AT11">
        <v>775.12</v>
      </c>
      <c r="AU11">
        <v>11257.89</v>
      </c>
      <c r="AX11">
        <v>11257.89</v>
      </c>
      <c r="AY11">
        <v>179706.68</v>
      </c>
      <c r="AZ11">
        <v>9964.15</v>
      </c>
      <c r="BC11">
        <v>9964.15</v>
      </c>
      <c r="BG11">
        <v>9964.15</v>
      </c>
      <c r="BW11">
        <v>276847.87999999995</v>
      </c>
      <c r="BX11" s="1"/>
      <c r="BY11" s="1"/>
    </row>
    <row r="12" spans="1:77">
      <c r="A12" s="4"/>
      <c r="B12" s="17"/>
      <c r="C12" s="17"/>
      <c r="D12" s="3">
        <v>41575</v>
      </c>
      <c r="E12" s="11">
        <f t="shared" si="3"/>
        <v>255907.54</v>
      </c>
      <c r="F12" s="4">
        <f t="shared" si="4"/>
        <v>167475.76</v>
      </c>
      <c r="G12" s="4">
        <f t="shared" si="5"/>
        <v>0.65443855229900616</v>
      </c>
      <c r="H12" s="4">
        <f t="shared" si="0"/>
        <v>0</v>
      </c>
      <c r="I12" s="4">
        <f t="shared" si="1"/>
        <v>0</v>
      </c>
      <c r="J12" s="4">
        <f t="shared" si="6"/>
        <v>0</v>
      </c>
      <c r="K12" s="4">
        <f t="shared" si="7"/>
        <v>0</v>
      </c>
      <c r="L12" s="4">
        <f t="shared" si="8"/>
        <v>0</v>
      </c>
      <c r="M12" s="4">
        <f t="shared" si="9"/>
        <v>0</v>
      </c>
      <c r="N12" s="4">
        <f t="shared" si="10"/>
        <v>0</v>
      </c>
      <c r="O12" s="4">
        <f t="shared" si="11"/>
        <v>0</v>
      </c>
      <c r="P12" s="4">
        <f t="shared" si="12"/>
        <v>167475.76</v>
      </c>
      <c r="Q12" s="4">
        <f t="shared" si="2"/>
        <v>0.65443855229900616</v>
      </c>
      <c r="R12" s="4">
        <v>6</v>
      </c>
      <c r="S12" s="4">
        <f t="shared" si="15"/>
        <v>166271.0772261924</v>
      </c>
      <c r="T12" s="4">
        <f t="shared" si="17"/>
        <v>0.64973106000000003</v>
      </c>
      <c r="U12" s="11">
        <f t="shared" si="13"/>
        <v>88431.78</v>
      </c>
      <c r="V12" s="11">
        <f t="shared" si="14"/>
        <v>0.34556144770099384</v>
      </c>
      <c r="X12" s="3">
        <v>41575</v>
      </c>
      <c r="Y12">
        <v>10666.14</v>
      </c>
      <c r="AB12">
        <v>10666.14</v>
      </c>
      <c r="AE12">
        <v>10666.14</v>
      </c>
      <c r="AF12">
        <v>85636.79</v>
      </c>
      <c r="AI12">
        <v>85636.79</v>
      </c>
      <c r="AJ12">
        <v>46163.35</v>
      </c>
      <c r="AM12">
        <v>46163.35</v>
      </c>
      <c r="AN12">
        <v>23640.01</v>
      </c>
      <c r="AQ12">
        <v>23640.01</v>
      </c>
      <c r="AR12">
        <v>647.75</v>
      </c>
      <c r="AT12">
        <v>647.75</v>
      </c>
      <c r="AU12">
        <v>11387.86</v>
      </c>
      <c r="AX12">
        <v>11387.86</v>
      </c>
      <c r="AY12">
        <v>167475.76</v>
      </c>
      <c r="AZ12">
        <v>8923.82</v>
      </c>
      <c r="BC12">
        <v>8923.82</v>
      </c>
      <c r="BG12">
        <v>8923.82</v>
      </c>
      <c r="BW12">
        <v>255907.54</v>
      </c>
      <c r="BX12" s="1"/>
      <c r="BY12" s="1"/>
    </row>
    <row r="13" spans="1:77">
      <c r="A13" s="4" t="s">
        <v>39</v>
      </c>
      <c r="B13" s="6">
        <v>1.138687962300689E-2</v>
      </c>
      <c r="C13" s="6"/>
      <c r="D13" s="3">
        <v>41582</v>
      </c>
      <c r="E13" s="11">
        <f t="shared" si="3"/>
        <v>241422.04000000004</v>
      </c>
      <c r="F13" s="4">
        <f t="shared" si="4"/>
        <v>158965.4</v>
      </c>
      <c r="G13" s="4">
        <f t="shared" si="5"/>
        <v>0.65845438138125234</v>
      </c>
      <c r="H13" s="4">
        <f t="shared" si="0"/>
        <v>0</v>
      </c>
      <c r="I13" s="4">
        <f t="shared" si="1"/>
        <v>0</v>
      </c>
      <c r="J13" s="4">
        <f t="shared" si="6"/>
        <v>0</v>
      </c>
      <c r="K13" s="4">
        <f t="shared" si="7"/>
        <v>0</v>
      </c>
      <c r="L13" s="4">
        <f t="shared" si="8"/>
        <v>0</v>
      </c>
      <c r="M13" s="4">
        <f t="shared" si="9"/>
        <v>0</v>
      </c>
      <c r="N13" s="4">
        <f t="shared" si="10"/>
        <v>0</v>
      </c>
      <c r="O13" s="4">
        <f t="shared" si="11"/>
        <v>0</v>
      </c>
      <c r="P13" s="4">
        <f t="shared" si="12"/>
        <v>158965.4</v>
      </c>
      <c r="Q13" s="4">
        <f t="shared" si="2"/>
        <v>0.65845438138125234</v>
      </c>
      <c r="R13" s="4">
        <v>7</v>
      </c>
      <c r="S13" s="4">
        <f t="shared" si="15"/>
        <v>156927.84351912281</v>
      </c>
      <c r="T13" s="4">
        <f t="shared" si="17"/>
        <v>0.65001456999999996</v>
      </c>
      <c r="U13" s="11">
        <f t="shared" si="13"/>
        <v>82456.640000000043</v>
      </c>
      <c r="V13" s="11">
        <f t="shared" si="14"/>
        <v>0.3415456186187476</v>
      </c>
      <c r="X13" s="3">
        <v>41582</v>
      </c>
      <c r="Y13">
        <v>9843.83</v>
      </c>
      <c r="AB13">
        <v>9843.83</v>
      </c>
      <c r="AE13">
        <v>9843.83</v>
      </c>
      <c r="AF13">
        <v>81191.679999999993</v>
      </c>
      <c r="AI13">
        <v>81191.679999999993</v>
      </c>
      <c r="AJ13">
        <v>41446.58</v>
      </c>
      <c r="AM13">
        <v>41446.58</v>
      </c>
      <c r="AN13">
        <v>24406.76</v>
      </c>
      <c r="AQ13">
        <v>24406.76</v>
      </c>
      <c r="AR13">
        <v>639.91</v>
      </c>
      <c r="AT13">
        <v>639.91</v>
      </c>
      <c r="AU13">
        <v>11280.47</v>
      </c>
      <c r="AX13">
        <v>11280.47</v>
      </c>
      <c r="AY13">
        <v>158965.4</v>
      </c>
      <c r="AZ13">
        <v>8188.45</v>
      </c>
      <c r="BC13">
        <v>8188.45</v>
      </c>
      <c r="BG13">
        <v>8188.45</v>
      </c>
      <c r="BW13">
        <v>241422.04000000004</v>
      </c>
      <c r="BX13" s="1"/>
      <c r="BY13" s="1"/>
    </row>
    <row r="14" spans="1:77">
      <c r="D14" s="3">
        <v>41589</v>
      </c>
      <c r="E14" s="11">
        <f t="shared" si="3"/>
        <v>245755.74999999997</v>
      </c>
      <c r="F14" s="4">
        <f t="shared" si="4"/>
        <v>162296.74999999997</v>
      </c>
      <c r="G14" s="4">
        <f t="shared" si="5"/>
        <v>0.66039858680824348</v>
      </c>
      <c r="H14" s="4">
        <f t="shared" si="0"/>
        <v>0</v>
      </c>
      <c r="I14" s="4">
        <f t="shared" si="1"/>
        <v>0</v>
      </c>
      <c r="J14" s="4">
        <f t="shared" si="6"/>
        <v>0</v>
      </c>
      <c r="K14" s="4">
        <f t="shared" si="7"/>
        <v>0</v>
      </c>
      <c r="L14" s="4">
        <f t="shared" si="8"/>
        <v>0</v>
      </c>
      <c r="M14" s="4">
        <f t="shared" si="9"/>
        <v>0</v>
      </c>
      <c r="N14" s="4">
        <f t="shared" si="10"/>
        <v>0</v>
      </c>
      <c r="O14" s="4">
        <f t="shared" si="11"/>
        <v>0</v>
      </c>
      <c r="P14" s="4">
        <f t="shared" si="12"/>
        <v>162296.74999999997</v>
      </c>
      <c r="Q14" s="4">
        <f t="shared" si="2"/>
        <v>0.66039858680824348</v>
      </c>
      <c r="R14" s="4">
        <v>8</v>
      </c>
      <c r="S14" s="4">
        <f t="shared" si="15"/>
        <v>159814.49237395998</v>
      </c>
      <c r="T14" s="4">
        <f t="shared" si="17"/>
        <v>0.65029808</v>
      </c>
      <c r="U14" s="11">
        <f t="shared" si="13"/>
        <v>83459</v>
      </c>
      <c r="V14" s="11">
        <f t="shared" si="14"/>
        <v>0.33960141319175646</v>
      </c>
      <c r="X14" s="3">
        <v>41589</v>
      </c>
      <c r="Y14">
        <v>10217.67</v>
      </c>
      <c r="AB14">
        <v>10217.67</v>
      </c>
      <c r="AE14">
        <v>10217.67</v>
      </c>
      <c r="AF14">
        <v>82260.12</v>
      </c>
      <c r="AI14">
        <v>82260.12</v>
      </c>
      <c r="AJ14">
        <v>42210.42</v>
      </c>
      <c r="AM14">
        <v>42210.42</v>
      </c>
      <c r="AN14">
        <v>25195.95</v>
      </c>
      <c r="AQ14">
        <v>25195.95</v>
      </c>
      <c r="AR14">
        <v>679.68</v>
      </c>
      <c r="AT14">
        <v>679.68</v>
      </c>
      <c r="AU14">
        <v>11950.58</v>
      </c>
      <c r="AX14">
        <v>11950.58</v>
      </c>
      <c r="AY14">
        <v>162296.74999999997</v>
      </c>
      <c r="AZ14">
        <v>8456.36</v>
      </c>
      <c r="BC14">
        <v>8456.36</v>
      </c>
      <c r="BG14">
        <v>8456.36</v>
      </c>
      <c r="BW14">
        <v>245755.74999999997</v>
      </c>
      <c r="BX14" s="1"/>
      <c r="BY14" s="1"/>
    </row>
    <row r="15" spans="1:77">
      <c r="D15" s="3">
        <v>41596</v>
      </c>
      <c r="E15" s="11">
        <f t="shared" si="3"/>
        <v>289702.49</v>
      </c>
      <c r="F15" s="4">
        <f t="shared" si="4"/>
        <v>188847.13999999998</v>
      </c>
      <c r="G15" s="4">
        <f t="shared" si="5"/>
        <v>0.65186578134002227</v>
      </c>
      <c r="H15" s="4">
        <f t="shared" si="0"/>
        <v>0</v>
      </c>
      <c r="I15" s="4">
        <f t="shared" si="1"/>
        <v>0</v>
      </c>
      <c r="J15" s="4">
        <f t="shared" si="6"/>
        <v>0</v>
      </c>
      <c r="K15" s="4">
        <f t="shared" si="7"/>
        <v>0</v>
      </c>
      <c r="L15" s="4">
        <f t="shared" si="8"/>
        <v>0</v>
      </c>
      <c r="M15" s="4">
        <f t="shared" si="9"/>
        <v>0</v>
      </c>
      <c r="N15" s="4">
        <f t="shared" si="10"/>
        <v>0</v>
      </c>
      <c r="O15" s="4">
        <f t="shared" si="11"/>
        <v>0</v>
      </c>
      <c r="P15" s="4">
        <f t="shared" si="12"/>
        <v>188847.13999999998</v>
      </c>
      <c r="Q15" s="4">
        <f t="shared" si="2"/>
        <v>0.65186578134002227</v>
      </c>
      <c r="R15" s="4">
        <v>9</v>
      </c>
      <c r="S15" s="4">
        <f t="shared" si="15"/>
        <v>188475.10657115909</v>
      </c>
      <c r="T15" s="4">
        <f t="shared" si="17"/>
        <v>0.65058159000000004</v>
      </c>
      <c r="U15" s="11">
        <f t="shared" si="13"/>
        <v>100855.35</v>
      </c>
      <c r="V15" s="11">
        <f t="shared" si="14"/>
        <v>0.34813421865997773</v>
      </c>
      <c r="X15" s="3">
        <v>41596</v>
      </c>
      <c r="Y15">
        <v>12803.35</v>
      </c>
      <c r="AB15">
        <v>12803.35</v>
      </c>
      <c r="AE15">
        <v>12803.35</v>
      </c>
      <c r="AF15">
        <v>102802.45</v>
      </c>
      <c r="AI15">
        <v>102802.45</v>
      </c>
      <c r="AJ15">
        <v>46074.18</v>
      </c>
      <c r="AM15">
        <v>46074.18</v>
      </c>
      <c r="AN15">
        <v>26636.77</v>
      </c>
      <c r="AQ15">
        <v>26636.77</v>
      </c>
      <c r="AR15">
        <v>883.18</v>
      </c>
      <c r="AT15">
        <v>883.18</v>
      </c>
      <c r="AU15">
        <v>12450.56</v>
      </c>
      <c r="AX15">
        <v>12450.56</v>
      </c>
      <c r="AY15">
        <v>188847.13999999998</v>
      </c>
      <c r="AZ15">
        <v>10811.53</v>
      </c>
      <c r="BC15">
        <v>10811.53</v>
      </c>
      <c r="BG15">
        <v>10811.53</v>
      </c>
      <c r="BW15">
        <v>289702.49</v>
      </c>
      <c r="BX15" s="1"/>
      <c r="BY15" s="1"/>
    </row>
    <row r="16" spans="1:77">
      <c r="D16" s="3">
        <v>41603</v>
      </c>
      <c r="E16" s="11">
        <f t="shared" si="3"/>
        <v>215105.21000000005</v>
      </c>
      <c r="F16" s="4">
        <f t="shared" si="4"/>
        <v>139523.24</v>
      </c>
      <c r="G16" s="4">
        <f t="shared" si="5"/>
        <v>0.64862789701839374</v>
      </c>
      <c r="H16" s="4">
        <f t="shared" si="0"/>
        <v>0</v>
      </c>
      <c r="I16" s="4">
        <f t="shared" si="1"/>
        <v>0</v>
      </c>
      <c r="J16" s="4">
        <f t="shared" si="6"/>
        <v>0</v>
      </c>
      <c r="K16" s="4">
        <f t="shared" si="7"/>
        <v>0</v>
      </c>
      <c r="L16" s="4">
        <f t="shared" si="8"/>
        <v>0</v>
      </c>
      <c r="M16" s="4">
        <f t="shared" si="9"/>
        <v>0</v>
      </c>
      <c r="N16" s="4">
        <f t="shared" si="10"/>
        <v>0</v>
      </c>
      <c r="O16" s="4">
        <f t="shared" si="11"/>
        <v>0</v>
      </c>
      <c r="P16" s="4">
        <f t="shared" si="12"/>
        <v>139523.24</v>
      </c>
      <c r="Q16" s="4">
        <f t="shared" si="2"/>
        <v>0.64862789701839374</v>
      </c>
      <c r="R16" s="4">
        <v>10</v>
      </c>
      <c r="S16" s="4">
        <f t="shared" si="15"/>
        <v>140004.47401717101</v>
      </c>
      <c r="T16" s="4">
        <f t="shared" si="17"/>
        <v>0.65086509999999997</v>
      </c>
      <c r="U16" s="11">
        <f t="shared" si="13"/>
        <v>75581.970000000059</v>
      </c>
      <c r="V16" s="11">
        <f t="shared" si="14"/>
        <v>0.35137210298160626</v>
      </c>
      <c r="X16" s="3">
        <v>41603</v>
      </c>
      <c r="Y16">
        <v>9624.85</v>
      </c>
      <c r="AB16">
        <v>9624.85</v>
      </c>
      <c r="AE16">
        <v>9624.85</v>
      </c>
      <c r="AF16">
        <v>76938.070000000007</v>
      </c>
      <c r="AI16">
        <v>76938.070000000007</v>
      </c>
      <c r="AJ16">
        <v>34433.64</v>
      </c>
      <c r="AM16">
        <v>34433.64</v>
      </c>
      <c r="AN16">
        <v>18727.12</v>
      </c>
      <c r="AQ16">
        <v>18727.12</v>
      </c>
      <c r="AR16">
        <v>416.68</v>
      </c>
      <c r="AT16">
        <v>416.68</v>
      </c>
      <c r="AU16">
        <v>9007.73</v>
      </c>
      <c r="AX16">
        <v>9007.73</v>
      </c>
      <c r="AY16">
        <v>139523.24</v>
      </c>
      <c r="AZ16">
        <v>8263.2199999999993</v>
      </c>
      <c r="BC16">
        <v>8263.2199999999993</v>
      </c>
      <c r="BG16">
        <v>8263.2199999999993</v>
      </c>
      <c r="BW16">
        <v>215105.21000000005</v>
      </c>
      <c r="BX16" s="1"/>
      <c r="BY16" s="1"/>
    </row>
    <row r="17" spans="4:77">
      <c r="D17" s="3">
        <v>41610</v>
      </c>
      <c r="E17" s="11">
        <f t="shared" si="3"/>
        <v>238870.99</v>
      </c>
      <c r="F17" s="4">
        <f t="shared" si="4"/>
        <v>153738.6</v>
      </c>
      <c r="G17" s="4">
        <f t="shared" si="5"/>
        <v>0.64360515272281493</v>
      </c>
      <c r="H17" s="4">
        <f t="shared" si="0"/>
        <v>0</v>
      </c>
      <c r="I17" s="4">
        <f t="shared" si="1"/>
        <v>0</v>
      </c>
      <c r="J17" s="4">
        <f t="shared" si="6"/>
        <v>0</v>
      </c>
      <c r="K17" s="4">
        <f t="shared" si="7"/>
        <v>0</v>
      </c>
      <c r="L17" s="4">
        <f t="shared" si="8"/>
        <v>0</v>
      </c>
      <c r="M17" s="4">
        <f t="shared" si="9"/>
        <v>0</v>
      </c>
      <c r="N17" s="4">
        <f t="shared" si="10"/>
        <v>0</v>
      </c>
      <c r="O17" s="4">
        <f t="shared" si="11"/>
        <v>0</v>
      </c>
      <c r="P17" s="4">
        <f t="shared" si="12"/>
        <v>153738.6</v>
      </c>
      <c r="Q17" s="4">
        <f t="shared" si="2"/>
        <v>0.64360515272281493</v>
      </c>
      <c r="R17" s="4">
        <v>11</v>
      </c>
      <c r="S17" s="4">
        <f t="shared" si="15"/>
        <v>155540.51310782391</v>
      </c>
      <c r="T17" s="4">
        <f t="shared" si="17"/>
        <v>0.65114861000000002</v>
      </c>
      <c r="U17" s="11">
        <f t="shared" si="13"/>
        <v>85132.389999999985</v>
      </c>
      <c r="V17" s="11">
        <f t="shared" si="14"/>
        <v>0.35639484727718501</v>
      </c>
      <c r="X17" s="3">
        <v>41610</v>
      </c>
      <c r="Y17">
        <v>9931.57</v>
      </c>
      <c r="AB17">
        <v>9931.57</v>
      </c>
      <c r="AE17">
        <v>9931.57</v>
      </c>
      <c r="AF17">
        <v>78978.34</v>
      </c>
      <c r="AI17">
        <v>78978.34</v>
      </c>
      <c r="AJ17">
        <v>41026.629999999997</v>
      </c>
      <c r="AM17">
        <v>41026.629999999997</v>
      </c>
      <c r="AN17">
        <v>22351.78</v>
      </c>
      <c r="AQ17">
        <v>22351.78</v>
      </c>
      <c r="AR17">
        <v>590.84</v>
      </c>
      <c r="AT17">
        <v>590.84</v>
      </c>
      <c r="AU17">
        <v>10791.01</v>
      </c>
      <c r="AX17">
        <v>10791.01</v>
      </c>
      <c r="AY17">
        <v>153738.6</v>
      </c>
      <c r="AZ17">
        <v>8623.14</v>
      </c>
      <c r="BC17">
        <v>8623.14</v>
      </c>
      <c r="BG17">
        <v>8623.14</v>
      </c>
      <c r="BW17">
        <v>238870.99</v>
      </c>
      <c r="BX17" s="1"/>
      <c r="BY17" s="1"/>
    </row>
    <row r="18" spans="4:77">
      <c r="D18" s="3">
        <v>41617</v>
      </c>
      <c r="E18" s="11">
        <f t="shared" si="3"/>
        <v>250094.69</v>
      </c>
      <c r="F18" s="4">
        <f t="shared" si="4"/>
        <v>164619.97</v>
      </c>
      <c r="G18" s="4">
        <f t="shared" si="5"/>
        <v>0.65823056858984086</v>
      </c>
      <c r="H18" s="4">
        <f t="shared" si="0"/>
        <v>0</v>
      </c>
      <c r="I18" s="4">
        <f t="shared" si="1"/>
        <v>0</v>
      </c>
      <c r="J18" s="4">
        <f t="shared" si="6"/>
        <v>0</v>
      </c>
      <c r="K18" s="4">
        <f t="shared" si="7"/>
        <v>0</v>
      </c>
      <c r="L18" s="4">
        <f t="shared" si="8"/>
        <v>0</v>
      </c>
      <c r="M18" s="4">
        <f t="shared" si="9"/>
        <v>0</v>
      </c>
      <c r="N18" s="4">
        <f t="shared" si="10"/>
        <v>0</v>
      </c>
      <c r="O18" s="4">
        <f t="shared" si="11"/>
        <v>0</v>
      </c>
      <c r="P18" s="4">
        <f t="shared" si="12"/>
        <v>164619.97</v>
      </c>
      <c r="Q18" s="4">
        <f t="shared" si="2"/>
        <v>0.65823056858984086</v>
      </c>
      <c r="R18" s="4">
        <v>12</v>
      </c>
      <c r="S18" s="4">
        <f t="shared" si="15"/>
        <v>162919.71410744279</v>
      </c>
      <c r="T18" s="4">
        <f t="shared" si="17"/>
        <v>0.65143211999999995</v>
      </c>
      <c r="U18" s="11">
        <f t="shared" si="13"/>
        <v>85474.72</v>
      </c>
      <c r="V18" s="11">
        <f t="shared" si="14"/>
        <v>0.34176943141015909</v>
      </c>
      <c r="X18" s="3">
        <v>41617</v>
      </c>
      <c r="Y18">
        <v>10315.42</v>
      </c>
      <c r="AB18">
        <v>10315.42</v>
      </c>
      <c r="AE18">
        <v>10315.42</v>
      </c>
      <c r="AF18">
        <v>88648.02</v>
      </c>
      <c r="AI18">
        <v>88648.02</v>
      </c>
      <c r="AJ18">
        <v>39555.57</v>
      </c>
      <c r="AM18">
        <v>39555.57</v>
      </c>
      <c r="AN18">
        <v>24296.54</v>
      </c>
      <c r="AQ18">
        <v>24296.54</v>
      </c>
      <c r="AR18">
        <v>593.21</v>
      </c>
      <c r="AT18">
        <v>593.21</v>
      </c>
      <c r="AU18">
        <v>11526.63</v>
      </c>
      <c r="AX18">
        <v>11526.63</v>
      </c>
      <c r="AY18">
        <v>164619.97</v>
      </c>
      <c r="AZ18">
        <v>8556.16</v>
      </c>
      <c r="BC18">
        <v>8556.16</v>
      </c>
      <c r="BG18">
        <v>8556.16</v>
      </c>
      <c r="BW18">
        <v>250094.69</v>
      </c>
      <c r="BX18" s="1"/>
      <c r="BY18" s="1"/>
    </row>
    <row r="19" spans="4:77">
      <c r="D19" s="3">
        <v>41624</v>
      </c>
      <c r="E19" s="11">
        <f t="shared" si="3"/>
        <v>285301.72000000003</v>
      </c>
      <c r="F19" s="4">
        <f t="shared" si="4"/>
        <v>188140.50000000003</v>
      </c>
      <c r="G19" s="4">
        <f t="shared" si="5"/>
        <v>0.65944397390944576</v>
      </c>
      <c r="H19" s="4">
        <f t="shared" si="0"/>
        <v>0</v>
      </c>
      <c r="I19" s="4">
        <f t="shared" si="1"/>
        <v>0</v>
      </c>
      <c r="J19" s="4">
        <f t="shared" si="6"/>
        <v>0</v>
      </c>
      <c r="K19" s="4">
        <f t="shared" si="7"/>
        <v>0</v>
      </c>
      <c r="L19" s="4">
        <f t="shared" si="8"/>
        <v>0</v>
      </c>
      <c r="M19" s="4">
        <f t="shared" si="9"/>
        <v>0</v>
      </c>
      <c r="N19" s="4">
        <f t="shared" si="10"/>
        <v>0</v>
      </c>
      <c r="O19" s="4">
        <f t="shared" si="11"/>
        <v>0</v>
      </c>
      <c r="P19" s="4">
        <f t="shared" si="12"/>
        <v>188140.50000000003</v>
      </c>
      <c r="Q19" s="4">
        <f t="shared" si="2"/>
        <v>0.65944397390944576</v>
      </c>
      <c r="R19" s="4">
        <v>13</v>
      </c>
      <c r="S19" s="4">
        <f t="shared" si="15"/>
        <v>185935.59018988363</v>
      </c>
      <c r="T19" s="4">
        <f t="shared" si="17"/>
        <v>0.65171562999999999</v>
      </c>
      <c r="U19" s="11">
        <f t="shared" si="13"/>
        <v>97161.22</v>
      </c>
      <c r="V19" s="11">
        <f t="shared" si="14"/>
        <v>0.34055602609055419</v>
      </c>
      <c r="X19" s="3">
        <v>41624</v>
      </c>
      <c r="Y19">
        <v>11517.27</v>
      </c>
      <c r="AB19">
        <v>11517.27</v>
      </c>
      <c r="AE19">
        <v>11517.27</v>
      </c>
      <c r="AF19">
        <v>102953.74</v>
      </c>
      <c r="AI19">
        <v>102953.74</v>
      </c>
      <c r="AJ19">
        <v>46282.46</v>
      </c>
      <c r="AM19">
        <v>46282.46</v>
      </c>
      <c r="AN19">
        <v>25962.33</v>
      </c>
      <c r="AQ19">
        <v>25962.33</v>
      </c>
      <c r="AR19">
        <v>713.65</v>
      </c>
      <c r="AT19">
        <v>713.65</v>
      </c>
      <c r="AU19">
        <v>12228.32</v>
      </c>
      <c r="AX19">
        <v>12228.32</v>
      </c>
      <c r="AY19">
        <v>188140.50000000003</v>
      </c>
      <c r="AZ19">
        <v>9931.9699999999993</v>
      </c>
      <c r="BC19">
        <v>9931.9699999999993</v>
      </c>
      <c r="BG19">
        <v>9931.9699999999993</v>
      </c>
      <c r="BW19">
        <v>285301.72000000003</v>
      </c>
      <c r="BX19" s="1"/>
      <c r="BY19" s="1"/>
    </row>
    <row r="20" spans="4:77">
      <c r="D20" s="3">
        <v>41631</v>
      </c>
      <c r="E20" s="11">
        <f t="shared" si="3"/>
        <v>235536.25</v>
      </c>
      <c r="F20" s="4">
        <f t="shared" si="4"/>
        <v>152605.01999999999</v>
      </c>
      <c r="G20" s="4">
        <f t="shared" si="5"/>
        <v>0.64790460067187106</v>
      </c>
      <c r="H20" s="4">
        <f t="shared" si="0"/>
        <v>0</v>
      </c>
      <c r="I20" s="4">
        <f t="shared" si="1"/>
        <v>0</v>
      </c>
      <c r="J20" s="4">
        <f t="shared" si="6"/>
        <v>0</v>
      </c>
      <c r="K20" s="4">
        <f t="shared" si="7"/>
        <v>0</v>
      </c>
      <c r="L20" s="4">
        <f t="shared" si="8"/>
        <v>0</v>
      </c>
      <c r="M20" s="4">
        <f t="shared" si="9"/>
        <v>0</v>
      </c>
      <c r="N20" s="4">
        <f t="shared" si="10"/>
        <v>0</v>
      </c>
      <c r="O20" s="4">
        <f t="shared" si="11"/>
        <v>0</v>
      </c>
      <c r="P20" s="4">
        <f t="shared" si="12"/>
        <v>152605.01999999999</v>
      </c>
      <c r="Q20" s="4">
        <f t="shared" si="2"/>
        <v>0.64790460067187106</v>
      </c>
      <c r="R20" s="4">
        <v>14</v>
      </c>
      <c r="S20" s="4">
        <f t="shared" si="15"/>
        <v>153569.432438825</v>
      </c>
      <c r="T20" s="4">
        <f t="shared" si="17"/>
        <v>0.65199914000000003</v>
      </c>
      <c r="U20" s="11">
        <f t="shared" si="13"/>
        <v>82931.23000000001</v>
      </c>
      <c r="V20" s="11">
        <f t="shared" si="14"/>
        <v>0.35209539932812894</v>
      </c>
      <c r="X20" s="3">
        <v>41631</v>
      </c>
      <c r="Y20">
        <v>10073.709999999999</v>
      </c>
      <c r="AB20">
        <v>10073.709999999999</v>
      </c>
      <c r="AE20">
        <v>10073.709999999999</v>
      </c>
      <c r="AF20">
        <v>86320.59</v>
      </c>
      <c r="AI20">
        <v>86320.59</v>
      </c>
      <c r="AJ20">
        <v>35783.279999999999</v>
      </c>
      <c r="AM20">
        <v>35783.279999999999</v>
      </c>
      <c r="AN20">
        <v>20198.759999999998</v>
      </c>
      <c r="AQ20">
        <v>20198.759999999998</v>
      </c>
      <c r="AR20">
        <v>472.4</v>
      </c>
      <c r="AT20">
        <v>472.4</v>
      </c>
      <c r="AU20">
        <v>9829.99</v>
      </c>
      <c r="AX20">
        <v>9829.99</v>
      </c>
      <c r="AY20">
        <v>152605.01999999999</v>
      </c>
      <c r="AZ20">
        <v>8738.92</v>
      </c>
      <c r="BC20">
        <v>8738.92</v>
      </c>
      <c r="BG20">
        <v>8738.92</v>
      </c>
      <c r="BW20">
        <v>235536.25</v>
      </c>
      <c r="BX20" s="1"/>
      <c r="BY20" s="1"/>
    </row>
    <row r="21" spans="4:77">
      <c r="D21" s="3">
        <v>41638</v>
      </c>
      <c r="E21" s="11">
        <f t="shared" si="3"/>
        <v>224259.16000000003</v>
      </c>
      <c r="F21" s="4">
        <f t="shared" si="4"/>
        <v>144898.29999999999</v>
      </c>
      <c r="G21" s="4">
        <f t="shared" si="5"/>
        <v>0.64611987309682228</v>
      </c>
      <c r="H21" s="4">
        <f t="shared" si="0"/>
        <v>0</v>
      </c>
      <c r="I21" s="4">
        <f t="shared" si="1"/>
        <v>0</v>
      </c>
      <c r="J21" s="4">
        <f t="shared" si="6"/>
        <v>0</v>
      </c>
      <c r="K21" s="4">
        <f t="shared" si="7"/>
        <v>0</v>
      </c>
      <c r="L21" s="4">
        <f t="shared" si="8"/>
        <v>0</v>
      </c>
      <c r="M21" s="4">
        <f t="shared" si="9"/>
        <v>0</v>
      </c>
      <c r="N21" s="4">
        <f t="shared" si="10"/>
        <v>0</v>
      </c>
      <c r="O21" s="4">
        <f t="shared" si="11"/>
        <v>0</v>
      </c>
      <c r="P21" s="4">
        <f t="shared" si="12"/>
        <v>144898.29999999999</v>
      </c>
      <c r="Q21" s="4">
        <f t="shared" si="2"/>
        <v>0.64611987309682228</v>
      </c>
      <c r="R21" s="4">
        <v>15</v>
      </c>
      <c r="S21" s="4">
        <f t="shared" si="15"/>
        <v>146280.359171574</v>
      </c>
      <c r="T21" s="4">
        <f t="shared" si="17"/>
        <v>0.65228264999999996</v>
      </c>
      <c r="U21" s="11">
        <f t="shared" si="13"/>
        <v>79360.860000000044</v>
      </c>
      <c r="V21" s="11">
        <f t="shared" si="14"/>
        <v>0.35388012690317772</v>
      </c>
      <c r="X21" s="3">
        <v>41638</v>
      </c>
      <c r="Y21">
        <v>9769.91</v>
      </c>
      <c r="AB21">
        <v>9769.91</v>
      </c>
      <c r="AE21">
        <v>9769.91</v>
      </c>
      <c r="AF21">
        <v>76080.98</v>
      </c>
      <c r="AI21">
        <v>76080.98</v>
      </c>
      <c r="AJ21">
        <v>36785.199999999997</v>
      </c>
      <c r="AM21">
        <v>36785.199999999997</v>
      </c>
      <c r="AN21">
        <v>20110</v>
      </c>
      <c r="AQ21">
        <v>20110</v>
      </c>
      <c r="AR21">
        <v>939.53</v>
      </c>
      <c r="AT21">
        <v>939.53</v>
      </c>
      <c r="AU21">
        <v>10982.59</v>
      </c>
      <c r="AX21">
        <v>10982.59</v>
      </c>
      <c r="AY21">
        <v>144898.29999999999</v>
      </c>
      <c r="AZ21">
        <v>8656.5300000000007</v>
      </c>
      <c r="BC21">
        <v>8656.5300000000007</v>
      </c>
      <c r="BG21">
        <v>8656.5300000000007</v>
      </c>
      <c r="BW21">
        <v>224259.16000000003</v>
      </c>
      <c r="BX21" s="1"/>
      <c r="BY21" s="1"/>
    </row>
    <row r="22" spans="4:77">
      <c r="D22" s="3">
        <v>41645</v>
      </c>
      <c r="E22" s="11">
        <f t="shared" si="3"/>
        <v>265612.44</v>
      </c>
      <c r="F22" s="4">
        <f t="shared" si="4"/>
        <v>172848.51</v>
      </c>
      <c r="G22" s="4">
        <f t="shared" si="5"/>
        <v>0.6507545730915314</v>
      </c>
      <c r="H22" s="4">
        <f t="shared" si="0"/>
        <v>0</v>
      </c>
      <c r="I22" s="4">
        <f t="shared" si="1"/>
        <v>0</v>
      </c>
      <c r="J22" s="4">
        <f t="shared" si="6"/>
        <v>0</v>
      </c>
      <c r="K22" s="4">
        <f t="shared" si="7"/>
        <v>0</v>
      </c>
      <c r="L22" s="4">
        <f t="shared" si="8"/>
        <v>0</v>
      </c>
      <c r="M22" s="4">
        <f t="shared" si="9"/>
        <v>0</v>
      </c>
      <c r="N22" s="4">
        <f t="shared" si="10"/>
        <v>0</v>
      </c>
      <c r="O22" s="4">
        <f t="shared" si="11"/>
        <v>0</v>
      </c>
      <c r="P22" s="4">
        <f t="shared" si="12"/>
        <v>172848.51</v>
      </c>
      <c r="Q22" s="4">
        <f t="shared" si="2"/>
        <v>0.6507545730915314</v>
      </c>
      <c r="R22" s="4">
        <v>16</v>
      </c>
      <c r="S22" s="4">
        <f t="shared" si="15"/>
        <v>173329.69001903041</v>
      </c>
      <c r="T22" s="4">
        <f t="shared" si="17"/>
        <v>0.65256616000000001</v>
      </c>
      <c r="U22" s="11">
        <f t="shared" si="13"/>
        <v>92763.93</v>
      </c>
      <c r="V22" s="11">
        <f t="shared" si="14"/>
        <v>0.34924542690846855</v>
      </c>
      <c r="X22" s="3">
        <v>41645</v>
      </c>
      <c r="Z22">
        <v>11392.08</v>
      </c>
      <c r="AB22">
        <v>11392.08</v>
      </c>
      <c r="AE22">
        <v>11392.08</v>
      </c>
      <c r="AG22">
        <v>88333.04</v>
      </c>
      <c r="AI22">
        <v>88333.04</v>
      </c>
      <c r="AK22">
        <v>47277.46</v>
      </c>
      <c r="AM22">
        <v>47277.46</v>
      </c>
      <c r="AO22">
        <v>23143.98</v>
      </c>
      <c r="AQ22">
        <v>23143.98</v>
      </c>
      <c r="AS22">
        <v>863.28</v>
      </c>
      <c r="AT22">
        <v>863.28</v>
      </c>
      <c r="AV22">
        <v>13230.75</v>
      </c>
      <c r="AX22">
        <v>13230.75</v>
      </c>
      <c r="AY22">
        <v>172848.51</v>
      </c>
      <c r="BA22">
        <v>10143.33</v>
      </c>
      <c r="BC22">
        <v>10143.33</v>
      </c>
      <c r="BG22">
        <v>10143.33</v>
      </c>
      <c r="BW22">
        <v>265612.44</v>
      </c>
      <c r="BX22" s="1"/>
      <c r="BY22" s="1"/>
    </row>
    <row r="23" spans="4:77">
      <c r="D23" s="3">
        <v>41652</v>
      </c>
      <c r="E23" s="11">
        <f t="shared" si="3"/>
        <v>247466.12000000002</v>
      </c>
      <c r="F23" s="4">
        <f t="shared" si="4"/>
        <v>162588.02000000002</v>
      </c>
      <c r="G23" s="4">
        <f t="shared" si="5"/>
        <v>0.65701123046661902</v>
      </c>
      <c r="H23" s="4">
        <f t="shared" si="0"/>
        <v>0</v>
      </c>
      <c r="I23" s="4">
        <f t="shared" si="1"/>
        <v>0</v>
      </c>
      <c r="J23" s="4">
        <f t="shared" si="6"/>
        <v>0</v>
      </c>
      <c r="K23" s="4">
        <f t="shared" si="7"/>
        <v>0</v>
      </c>
      <c r="L23" s="4">
        <f t="shared" si="8"/>
        <v>0</v>
      </c>
      <c r="M23" s="4">
        <f t="shared" si="9"/>
        <v>0</v>
      </c>
      <c r="N23" s="4">
        <f t="shared" si="10"/>
        <v>0</v>
      </c>
      <c r="O23" s="4">
        <f t="shared" si="11"/>
        <v>0</v>
      </c>
      <c r="P23" s="4">
        <f t="shared" si="12"/>
        <v>162588.02000000002</v>
      </c>
      <c r="Q23" s="4">
        <f t="shared" si="2"/>
        <v>0.65701123046661902</v>
      </c>
      <c r="R23" s="4">
        <v>17</v>
      </c>
      <c r="S23" s="4">
        <f t="shared" si="15"/>
        <v>161558.17477818043</v>
      </c>
      <c r="T23" s="4">
        <f t="shared" si="17"/>
        <v>0.65284967000000005</v>
      </c>
      <c r="U23" s="11">
        <f t="shared" si="13"/>
        <v>84878.1</v>
      </c>
      <c r="V23" s="11">
        <f t="shared" si="14"/>
        <v>0.34298876953338098</v>
      </c>
      <c r="X23" s="3">
        <v>41652</v>
      </c>
      <c r="Z23">
        <v>10000.31</v>
      </c>
      <c r="AB23">
        <v>10000.31</v>
      </c>
      <c r="AE23">
        <v>10000.31</v>
      </c>
      <c r="AG23">
        <v>82074.5</v>
      </c>
      <c r="AI23">
        <v>82074.5</v>
      </c>
      <c r="AK23">
        <v>44740.83</v>
      </c>
      <c r="AM23">
        <v>44740.83</v>
      </c>
      <c r="AO23">
        <v>22035.99</v>
      </c>
      <c r="AQ23">
        <v>22035.99</v>
      </c>
      <c r="AS23">
        <v>813.92</v>
      </c>
      <c r="AT23">
        <v>813.92</v>
      </c>
      <c r="AV23">
        <v>12922.78</v>
      </c>
      <c r="AX23">
        <v>12922.78</v>
      </c>
      <c r="AY23">
        <v>162588.02000000002</v>
      </c>
      <c r="BA23">
        <v>8334.93</v>
      </c>
      <c r="BC23">
        <v>8334.93</v>
      </c>
      <c r="BG23">
        <v>8334.93</v>
      </c>
      <c r="BW23">
        <v>247466.12000000002</v>
      </c>
      <c r="BX23" s="1"/>
      <c r="BY23" s="1"/>
    </row>
    <row r="24" spans="4:77">
      <c r="D24" s="3">
        <v>41659</v>
      </c>
      <c r="E24" s="11">
        <f t="shared" si="3"/>
        <v>225352.64</v>
      </c>
      <c r="F24" s="4">
        <f t="shared" si="4"/>
        <v>147993.99</v>
      </c>
      <c r="G24" s="4">
        <f t="shared" si="5"/>
        <v>0.65672179389600216</v>
      </c>
      <c r="H24" s="4">
        <f t="shared" si="0"/>
        <v>0</v>
      </c>
      <c r="I24" s="4">
        <f t="shared" si="1"/>
        <v>0</v>
      </c>
      <c r="J24" s="4">
        <f t="shared" si="6"/>
        <v>0</v>
      </c>
      <c r="K24" s="4">
        <f t="shared" si="7"/>
        <v>0</v>
      </c>
      <c r="L24" s="4">
        <f t="shared" si="8"/>
        <v>0</v>
      </c>
      <c r="M24" s="4">
        <f t="shared" si="9"/>
        <v>0</v>
      </c>
      <c r="N24" s="4">
        <f t="shared" si="10"/>
        <v>0</v>
      </c>
      <c r="O24" s="4">
        <f t="shared" si="11"/>
        <v>0</v>
      </c>
      <c r="P24" s="4">
        <f t="shared" si="12"/>
        <v>147993.99</v>
      </c>
      <c r="Q24" s="4">
        <f t="shared" si="2"/>
        <v>0.65672179389600216</v>
      </c>
      <c r="R24" s="4">
        <v>18</v>
      </c>
      <c r="S24" s="4">
        <f t="shared" si="15"/>
        <v>147185.28638459521</v>
      </c>
      <c r="T24" s="4">
        <f t="shared" si="17"/>
        <v>0.65313317999999998</v>
      </c>
      <c r="U24" s="11">
        <f t="shared" si="13"/>
        <v>77358.650000000023</v>
      </c>
      <c r="V24" s="11">
        <f t="shared" si="14"/>
        <v>0.34327820610399779</v>
      </c>
      <c r="X24" s="3">
        <v>41659</v>
      </c>
      <c r="Z24">
        <v>8520.35</v>
      </c>
      <c r="AB24">
        <v>8520.35</v>
      </c>
      <c r="AE24">
        <v>8520.35</v>
      </c>
      <c r="AG24">
        <v>74657.42</v>
      </c>
      <c r="AI24">
        <v>74657.42</v>
      </c>
      <c r="AK24">
        <v>40511.64</v>
      </c>
      <c r="AM24">
        <v>40511.64</v>
      </c>
      <c r="AO24">
        <v>20092.38</v>
      </c>
      <c r="AQ24">
        <v>20092.38</v>
      </c>
      <c r="AS24">
        <v>490.4</v>
      </c>
      <c r="AT24">
        <v>490.4</v>
      </c>
      <c r="AV24">
        <v>12242.15</v>
      </c>
      <c r="AX24">
        <v>12242.15</v>
      </c>
      <c r="AY24">
        <v>147993.99</v>
      </c>
      <c r="BA24">
        <v>7598.47</v>
      </c>
      <c r="BC24">
        <v>7598.47</v>
      </c>
      <c r="BG24">
        <v>7598.47</v>
      </c>
      <c r="BW24">
        <v>225352.64</v>
      </c>
      <c r="BX24" s="1"/>
      <c r="BY24" s="1"/>
    </row>
    <row r="25" spans="4:77">
      <c r="D25" s="3">
        <v>41666</v>
      </c>
      <c r="E25" s="11">
        <f t="shared" si="3"/>
        <v>251160.18000000005</v>
      </c>
      <c r="F25" s="4">
        <f t="shared" si="4"/>
        <v>163216.27000000002</v>
      </c>
      <c r="G25" s="4">
        <f t="shared" si="5"/>
        <v>0.649849311304045</v>
      </c>
      <c r="H25" s="4">
        <f t="shared" si="0"/>
        <v>0</v>
      </c>
      <c r="I25" s="4">
        <f t="shared" si="1"/>
        <v>0</v>
      </c>
      <c r="J25" s="4">
        <f t="shared" si="6"/>
        <v>0</v>
      </c>
      <c r="K25" s="4">
        <f t="shared" si="7"/>
        <v>0</v>
      </c>
      <c r="L25" s="4">
        <f t="shared" si="8"/>
        <v>0</v>
      </c>
      <c r="M25" s="4">
        <f t="shared" si="9"/>
        <v>0</v>
      </c>
      <c r="N25" s="4">
        <f t="shared" si="10"/>
        <v>0</v>
      </c>
      <c r="O25" s="4">
        <f t="shared" si="11"/>
        <v>0</v>
      </c>
      <c r="P25" s="4">
        <f t="shared" si="12"/>
        <v>163216.27000000002</v>
      </c>
      <c r="Q25" s="4">
        <f t="shared" si="2"/>
        <v>0.649849311304045</v>
      </c>
      <c r="R25" s="4">
        <v>19</v>
      </c>
      <c r="S25" s="4">
        <f t="shared" si="15"/>
        <v>164112.25347540423</v>
      </c>
      <c r="T25" s="4">
        <f t="shared" si="17"/>
        <v>0.65341669000000002</v>
      </c>
      <c r="U25" s="11">
        <f t="shared" si="13"/>
        <v>87943.910000000033</v>
      </c>
      <c r="V25" s="11">
        <f t="shared" si="14"/>
        <v>0.35015068869595495</v>
      </c>
      <c r="X25" s="3">
        <v>41666</v>
      </c>
      <c r="Z25">
        <v>9334.6</v>
      </c>
      <c r="AB25">
        <v>9334.6</v>
      </c>
      <c r="AE25">
        <v>9334.6</v>
      </c>
      <c r="AG25">
        <v>89519.81</v>
      </c>
      <c r="AI25">
        <v>89519.81</v>
      </c>
      <c r="AK25">
        <v>41133.660000000003</v>
      </c>
      <c r="AM25">
        <v>41133.660000000003</v>
      </c>
      <c r="AO25">
        <v>21074.07</v>
      </c>
      <c r="AQ25">
        <v>21074.07</v>
      </c>
      <c r="AS25">
        <v>137.69</v>
      </c>
      <c r="AT25">
        <v>137.69</v>
      </c>
      <c r="AV25">
        <v>11351.04</v>
      </c>
      <c r="AX25">
        <v>11351.04</v>
      </c>
      <c r="AY25">
        <v>163216.27000000002</v>
      </c>
      <c r="BA25">
        <v>8149.19</v>
      </c>
      <c r="BC25">
        <v>8149.19</v>
      </c>
      <c r="BG25">
        <v>8149.19</v>
      </c>
      <c r="BW25">
        <v>251160.18000000005</v>
      </c>
      <c r="BX25" s="1"/>
      <c r="BY25" s="1"/>
    </row>
    <row r="26" spans="4:77">
      <c r="D26" s="3">
        <v>41673</v>
      </c>
      <c r="E26" s="11">
        <f t="shared" si="3"/>
        <v>220104</v>
      </c>
      <c r="F26" s="4">
        <f t="shared" si="4"/>
        <v>142944.55000000002</v>
      </c>
      <c r="G26" s="4">
        <f t="shared" si="5"/>
        <v>0.64944094609820824</v>
      </c>
      <c r="H26" s="4">
        <f t="shared" si="0"/>
        <v>0</v>
      </c>
      <c r="I26" s="4">
        <f t="shared" si="1"/>
        <v>0</v>
      </c>
      <c r="J26" s="4">
        <f t="shared" si="6"/>
        <v>0</v>
      </c>
      <c r="K26" s="4">
        <f t="shared" si="7"/>
        <v>0</v>
      </c>
      <c r="L26" s="4">
        <f t="shared" si="8"/>
        <v>0</v>
      </c>
      <c r="M26" s="4">
        <f t="shared" si="9"/>
        <v>0</v>
      </c>
      <c r="N26" s="4">
        <f t="shared" si="10"/>
        <v>0</v>
      </c>
      <c r="O26" s="4">
        <f t="shared" si="11"/>
        <v>0</v>
      </c>
      <c r="P26" s="4">
        <f t="shared" si="12"/>
        <v>142944.55000000002</v>
      </c>
      <c r="Q26" s="4">
        <f t="shared" si="2"/>
        <v>0.64944094609820824</v>
      </c>
      <c r="R26" s="4">
        <v>20</v>
      </c>
      <c r="S26" s="4">
        <f t="shared" si="15"/>
        <v>143882.02882079998</v>
      </c>
      <c r="T26" s="4">
        <f t="shared" si="17"/>
        <v>0.65370019999999995</v>
      </c>
      <c r="U26" s="11">
        <f t="shared" si="13"/>
        <v>77159.449999999983</v>
      </c>
      <c r="V26" s="11">
        <f t="shared" si="14"/>
        <v>0.35055905390179182</v>
      </c>
      <c r="X26" s="3">
        <v>41673</v>
      </c>
      <c r="Z26">
        <v>8846.39</v>
      </c>
      <c r="AB26">
        <v>8846.39</v>
      </c>
      <c r="AE26">
        <v>8846.39</v>
      </c>
      <c r="AG26">
        <v>73113.17</v>
      </c>
      <c r="AI26">
        <v>73113.17</v>
      </c>
      <c r="AK26">
        <v>38454.199999999997</v>
      </c>
      <c r="AM26">
        <v>38454.199999999997</v>
      </c>
      <c r="AO26">
        <v>21112.1</v>
      </c>
      <c r="AQ26">
        <v>21112.1</v>
      </c>
      <c r="AS26">
        <v>472.73</v>
      </c>
      <c r="AT26">
        <v>472.73</v>
      </c>
      <c r="AV26">
        <v>9792.35</v>
      </c>
      <c r="AX26">
        <v>9792.35</v>
      </c>
      <c r="AY26">
        <v>142944.55000000002</v>
      </c>
      <c r="BA26">
        <v>7365.01</v>
      </c>
      <c r="BC26">
        <v>7365.01</v>
      </c>
      <c r="BG26">
        <v>7365.01</v>
      </c>
      <c r="BW26">
        <v>220104</v>
      </c>
      <c r="BX26" s="1"/>
      <c r="BY26" s="1"/>
    </row>
    <row r="27" spans="4:77">
      <c r="D27" s="3">
        <v>41680</v>
      </c>
      <c r="E27" s="11">
        <f t="shared" si="3"/>
        <v>239016.42000000004</v>
      </c>
      <c r="F27" s="4">
        <f t="shared" si="4"/>
        <v>157351.67000000001</v>
      </c>
      <c r="G27" s="4">
        <f t="shared" si="5"/>
        <v>0.65832995908816638</v>
      </c>
      <c r="H27" s="4">
        <f t="shared" si="0"/>
        <v>0</v>
      </c>
      <c r="I27" s="4">
        <f t="shared" si="1"/>
        <v>0</v>
      </c>
      <c r="J27" s="4">
        <f t="shared" si="6"/>
        <v>0</v>
      </c>
      <c r="K27" s="4">
        <f t="shared" si="7"/>
        <v>0</v>
      </c>
      <c r="L27" s="4">
        <f t="shared" si="8"/>
        <v>0</v>
      </c>
      <c r="M27" s="4">
        <f t="shared" si="9"/>
        <v>0</v>
      </c>
      <c r="N27" s="4">
        <f t="shared" si="10"/>
        <v>0</v>
      </c>
      <c r="O27" s="4">
        <f t="shared" si="11"/>
        <v>0</v>
      </c>
      <c r="P27" s="4">
        <f t="shared" si="12"/>
        <v>157351.67000000001</v>
      </c>
      <c r="Q27" s="4">
        <f t="shared" si="2"/>
        <v>0.65832995908816638</v>
      </c>
      <c r="R27" s="4">
        <v>21</v>
      </c>
      <c r="S27" s="4">
        <f t="shared" si="15"/>
        <v>156312.84510251821</v>
      </c>
      <c r="T27" s="4">
        <f t="shared" si="17"/>
        <v>0.65398371</v>
      </c>
      <c r="U27" s="11">
        <f t="shared" si="13"/>
        <v>81664.750000000029</v>
      </c>
      <c r="V27" s="11">
        <f t="shared" si="14"/>
        <v>0.34167004091183367</v>
      </c>
      <c r="X27" s="3">
        <v>41680</v>
      </c>
      <c r="Z27">
        <v>9274.3799999999992</v>
      </c>
      <c r="AB27">
        <v>9274.3799999999992</v>
      </c>
      <c r="AE27">
        <v>9274.3799999999992</v>
      </c>
      <c r="AG27">
        <v>80837.919999999998</v>
      </c>
      <c r="AI27">
        <v>80837.919999999998</v>
      </c>
      <c r="AK27">
        <v>42213.7</v>
      </c>
      <c r="AM27">
        <v>42213.7</v>
      </c>
      <c r="AO27">
        <v>22949.22</v>
      </c>
      <c r="AQ27">
        <v>22949.22</v>
      </c>
      <c r="AS27">
        <v>575.51</v>
      </c>
      <c r="AT27">
        <v>575.51</v>
      </c>
      <c r="AV27">
        <v>10775.32</v>
      </c>
      <c r="AX27">
        <v>10775.32</v>
      </c>
      <c r="AY27">
        <v>157351.67000000001</v>
      </c>
      <c r="BA27">
        <v>7861.16</v>
      </c>
      <c r="BC27">
        <v>7861.16</v>
      </c>
      <c r="BG27">
        <v>7861.16</v>
      </c>
      <c r="BW27">
        <v>239016.42000000004</v>
      </c>
      <c r="BX27" s="1"/>
      <c r="BY27" s="1"/>
    </row>
    <row r="28" spans="4:77">
      <c r="D28" s="3">
        <v>41687</v>
      </c>
      <c r="E28" s="11">
        <f t="shared" si="3"/>
        <v>271722.30000000005</v>
      </c>
      <c r="F28" s="4">
        <f t="shared" si="4"/>
        <v>180112.60000000003</v>
      </c>
      <c r="G28" s="4">
        <f t="shared" si="5"/>
        <v>0.66285542261345498</v>
      </c>
      <c r="H28" s="4">
        <f t="shared" si="0"/>
        <v>0</v>
      </c>
      <c r="I28" s="4">
        <f t="shared" si="1"/>
        <v>0</v>
      </c>
      <c r="J28" s="4">
        <f t="shared" si="6"/>
        <v>0</v>
      </c>
      <c r="K28" s="4">
        <f t="shared" si="7"/>
        <v>0</v>
      </c>
      <c r="L28" s="4">
        <f t="shared" si="8"/>
        <v>0</v>
      </c>
      <c r="M28" s="4">
        <f t="shared" si="9"/>
        <v>0</v>
      </c>
      <c r="N28" s="4">
        <f t="shared" si="10"/>
        <v>0</v>
      </c>
      <c r="O28" s="4">
        <f t="shared" si="11"/>
        <v>0</v>
      </c>
      <c r="P28" s="4">
        <f t="shared" si="12"/>
        <v>180112.60000000003</v>
      </c>
      <c r="Q28" s="4">
        <f t="shared" si="2"/>
        <v>0.66285542261345498</v>
      </c>
      <c r="R28" s="4">
        <v>22</v>
      </c>
      <c r="S28" s="4">
        <f t="shared" si="15"/>
        <v>177778.99383300604</v>
      </c>
      <c r="T28" s="4">
        <f t="shared" si="17"/>
        <v>0.65426722000000004</v>
      </c>
      <c r="U28" s="11">
        <f t="shared" si="13"/>
        <v>91609.700000000012</v>
      </c>
      <c r="V28" s="11">
        <f t="shared" si="14"/>
        <v>0.33714457738654502</v>
      </c>
      <c r="X28" s="3">
        <v>41687</v>
      </c>
      <c r="Z28">
        <v>10792.06</v>
      </c>
      <c r="AB28">
        <v>10792.06</v>
      </c>
      <c r="AE28">
        <v>10792.06</v>
      </c>
      <c r="AG28">
        <v>95545.47</v>
      </c>
      <c r="AI28">
        <v>95545.47</v>
      </c>
      <c r="AK28">
        <v>47912.47</v>
      </c>
      <c r="AM28">
        <v>47912.47</v>
      </c>
      <c r="AO28">
        <v>24105.759999999998</v>
      </c>
      <c r="AQ28">
        <v>24105.759999999998</v>
      </c>
      <c r="AS28">
        <v>563.26</v>
      </c>
      <c r="AT28">
        <v>563.26</v>
      </c>
      <c r="AV28">
        <v>11985.64</v>
      </c>
      <c r="AX28">
        <v>11985.64</v>
      </c>
      <c r="AY28">
        <v>180112.60000000003</v>
      </c>
      <c r="BA28">
        <v>9248.81</v>
      </c>
      <c r="BC28">
        <v>9248.81</v>
      </c>
      <c r="BG28">
        <v>9248.81</v>
      </c>
      <c r="BW28">
        <v>271722.30000000005</v>
      </c>
      <c r="BX28" s="1"/>
      <c r="BY28" s="1"/>
    </row>
    <row r="29" spans="4:77">
      <c r="D29" s="3">
        <v>41694</v>
      </c>
      <c r="E29" s="11">
        <f t="shared" si="3"/>
        <v>280148.95999999996</v>
      </c>
      <c r="F29" s="4">
        <f t="shared" si="4"/>
        <v>186076.35</v>
      </c>
      <c r="G29" s="4">
        <f t="shared" si="5"/>
        <v>0.66420503577810897</v>
      </c>
      <c r="H29" s="4">
        <f t="shared" si="0"/>
        <v>0</v>
      </c>
      <c r="I29" s="4">
        <f t="shared" si="1"/>
        <v>0</v>
      </c>
      <c r="J29" s="4">
        <f t="shared" si="6"/>
        <v>0</v>
      </c>
      <c r="K29" s="4">
        <f t="shared" si="7"/>
        <v>0</v>
      </c>
      <c r="L29" s="4">
        <f t="shared" si="8"/>
        <v>0</v>
      </c>
      <c r="M29" s="4">
        <f t="shared" si="9"/>
        <v>0</v>
      </c>
      <c r="N29" s="4">
        <f t="shared" si="10"/>
        <v>0</v>
      </c>
      <c r="O29" s="4">
        <f t="shared" si="11"/>
        <v>0</v>
      </c>
      <c r="P29" s="4">
        <f t="shared" si="12"/>
        <v>186076.35</v>
      </c>
      <c r="Q29" s="4">
        <f t="shared" si="2"/>
        <v>0.66420503577810897</v>
      </c>
      <c r="R29" s="4">
        <v>23</v>
      </c>
      <c r="S29" s="4">
        <f t="shared" si="15"/>
        <v>183371.70627674076</v>
      </c>
      <c r="T29" s="4">
        <f t="shared" si="17"/>
        <v>0.65455072999999997</v>
      </c>
      <c r="U29" s="11">
        <f t="shared" si="13"/>
        <v>94072.609999999957</v>
      </c>
      <c r="V29" s="11">
        <f t="shared" si="14"/>
        <v>0.33579496422189098</v>
      </c>
      <c r="X29" s="3">
        <v>41694</v>
      </c>
      <c r="Z29">
        <v>11204.8</v>
      </c>
      <c r="AB29">
        <v>11204.8</v>
      </c>
      <c r="AE29">
        <v>11204.8</v>
      </c>
      <c r="AG29">
        <v>103732.41</v>
      </c>
      <c r="AI29">
        <v>103732.41</v>
      </c>
      <c r="AK29">
        <v>46837.05</v>
      </c>
      <c r="AM29">
        <v>46837.05</v>
      </c>
      <c r="AO29">
        <v>21911.71</v>
      </c>
      <c r="AQ29">
        <v>21911.71</v>
      </c>
      <c r="AS29">
        <v>807.38</v>
      </c>
      <c r="AT29">
        <v>807.38</v>
      </c>
      <c r="AV29">
        <v>12787.8</v>
      </c>
      <c r="AX29">
        <v>12787.8</v>
      </c>
      <c r="AY29">
        <v>186076.35</v>
      </c>
      <c r="BA29">
        <v>9911.85</v>
      </c>
      <c r="BC29">
        <v>9911.85</v>
      </c>
      <c r="BG29">
        <v>9911.85</v>
      </c>
      <c r="BW29">
        <v>280148.95999999996</v>
      </c>
      <c r="BX29" s="1"/>
      <c r="BY29" s="1"/>
    </row>
    <row r="30" spans="4:77">
      <c r="D30" s="3">
        <v>41701</v>
      </c>
      <c r="E30" s="11">
        <f t="shared" si="3"/>
        <v>266997.23000000004</v>
      </c>
      <c r="F30" s="4">
        <f t="shared" si="4"/>
        <v>175740.61000000002</v>
      </c>
      <c r="G30" s="4">
        <f t="shared" si="5"/>
        <v>0.65821136046991946</v>
      </c>
      <c r="H30" s="4">
        <f t="shared" si="0"/>
        <v>0</v>
      </c>
      <c r="I30" s="4">
        <f t="shared" si="1"/>
        <v>0</v>
      </c>
      <c r="J30" s="4">
        <f t="shared" si="6"/>
        <v>0</v>
      </c>
      <c r="K30" s="4">
        <f t="shared" si="7"/>
        <v>0</v>
      </c>
      <c r="L30" s="4">
        <f t="shared" si="8"/>
        <v>0</v>
      </c>
      <c r="M30" s="4">
        <f t="shared" si="9"/>
        <v>0</v>
      </c>
      <c r="N30" s="4">
        <f t="shared" si="10"/>
        <v>0</v>
      </c>
      <c r="O30" s="4">
        <f t="shared" si="11"/>
        <v>0</v>
      </c>
      <c r="P30" s="4">
        <f t="shared" si="12"/>
        <v>175740.61000000002</v>
      </c>
      <c r="Q30" s="4">
        <f t="shared" si="2"/>
        <v>0.65821136046991946</v>
      </c>
      <c r="R30" s="4">
        <v>24</v>
      </c>
      <c r="S30" s="4">
        <f t="shared" si="15"/>
        <v>174838.92818915524</v>
      </c>
      <c r="T30" s="4">
        <f t="shared" si="17"/>
        <v>0.65483424000000001</v>
      </c>
      <c r="U30" s="11">
        <f t="shared" si="13"/>
        <v>91256.620000000024</v>
      </c>
      <c r="V30" s="11">
        <f t="shared" si="14"/>
        <v>0.34178863953008054</v>
      </c>
      <c r="X30" s="3">
        <v>41701</v>
      </c>
      <c r="Z30">
        <v>11295.92</v>
      </c>
      <c r="AB30">
        <v>11295.92</v>
      </c>
      <c r="AE30">
        <v>11295.92</v>
      </c>
      <c r="AG30">
        <v>97908.05</v>
      </c>
      <c r="AI30">
        <v>97908.05</v>
      </c>
      <c r="AK30">
        <v>43051.34</v>
      </c>
      <c r="AM30">
        <v>43051.34</v>
      </c>
      <c r="AO30">
        <v>21327.47</v>
      </c>
      <c r="AQ30">
        <v>21327.47</v>
      </c>
      <c r="AS30">
        <v>794.05</v>
      </c>
      <c r="AT30">
        <v>794.05</v>
      </c>
      <c r="AV30">
        <v>12659.7</v>
      </c>
      <c r="AX30">
        <v>12659.7</v>
      </c>
      <c r="AY30">
        <v>175740.61000000002</v>
      </c>
      <c r="BA30">
        <v>9724.42</v>
      </c>
      <c r="BC30">
        <v>9724.42</v>
      </c>
      <c r="BG30">
        <v>9724.42</v>
      </c>
      <c r="BW30">
        <v>266997.23000000004</v>
      </c>
      <c r="BX30" s="1"/>
      <c r="BY30" s="1"/>
    </row>
    <row r="31" spans="4:77">
      <c r="D31" s="3">
        <v>41708</v>
      </c>
      <c r="E31" s="11">
        <f t="shared" si="3"/>
        <v>276042.36</v>
      </c>
      <c r="F31" s="4">
        <f t="shared" si="4"/>
        <v>182687.44999999998</v>
      </c>
      <c r="G31" s="4">
        <f t="shared" si="5"/>
        <v>0.66180947735702589</v>
      </c>
      <c r="H31" s="4">
        <f t="shared" si="0"/>
        <v>0</v>
      </c>
      <c r="I31" s="4">
        <f t="shared" si="1"/>
        <v>0</v>
      </c>
      <c r="J31" s="4">
        <f t="shared" si="6"/>
        <v>0</v>
      </c>
      <c r="K31" s="4">
        <f t="shared" si="7"/>
        <v>0</v>
      </c>
      <c r="L31" s="4">
        <f t="shared" si="8"/>
        <v>0</v>
      </c>
      <c r="M31" s="4">
        <f t="shared" si="9"/>
        <v>0</v>
      </c>
      <c r="N31" s="4">
        <f t="shared" si="10"/>
        <v>0</v>
      </c>
      <c r="O31" s="4">
        <f t="shared" si="11"/>
        <v>0</v>
      </c>
      <c r="P31" s="4">
        <f t="shared" si="12"/>
        <v>182687.44999999998</v>
      </c>
      <c r="Q31" s="4">
        <f t="shared" si="2"/>
        <v>0.66180947735702589</v>
      </c>
      <c r="R31" s="4">
        <v>25</v>
      </c>
      <c r="S31" s="4">
        <f t="shared" si="15"/>
        <v>180840.24978788997</v>
      </c>
      <c r="T31" s="4">
        <f t="shared" si="17"/>
        <v>0.65511774999999994</v>
      </c>
      <c r="U31" s="11">
        <f t="shared" si="13"/>
        <v>93354.91</v>
      </c>
      <c r="V31" s="11">
        <f t="shared" si="14"/>
        <v>0.33819052264297411</v>
      </c>
      <c r="X31" s="3">
        <v>41708</v>
      </c>
      <c r="Z31">
        <v>11829.62</v>
      </c>
      <c r="AB31">
        <v>11829.62</v>
      </c>
      <c r="AE31">
        <v>11829.62</v>
      </c>
      <c r="AG31">
        <v>98716.13</v>
      </c>
      <c r="AI31">
        <v>98716.13</v>
      </c>
      <c r="AK31">
        <v>45013.81</v>
      </c>
      <c r="AM31">
        <v>45013.81</v>
      </c>
      <c r="AO31">
        <v>23244.77</v>
      </c>
      <c r="AQ31">
        <v>23244.77</v>
      </c>
      <c r="AS31">
        <v>1009.97</v>
      </c>
      <c r="AT31">
        <v>1009.97</v>
      </c>
      <c r="AV31">
        <v>14702.77</v>
      </c>
      <c r="AX31">
        <v>14702.77</v>
      </c>
      <c r="AY31">
        <v>182687.44999999998</v>
      </c>
      <c r="BA31">
        <v>9998</v>
      </c>
      <c r="BC31">
        <v>9998</v>
      </c>
      <c r="BG31">
        <v>9998</v>
      </c>
      <c r="BW31">
        <v>276042.36</v>
      </c>
      <c r="BX31" s="1"/>
      <c r="BY31" s="1"/>
    </row>
    <row r="32" spans="4:77">
      <c r="D32" s="3">
        <v>41715</v>
      </c>
      <c r="E32" s="11">
        <f t="shared" si="3"/>
        <v>284771.07</v>
      </c>
      <c r="F32" s="4">
        <f t="shared" si="4"/>
        <v>187549.84</v>
      </c>
      <c r="G32" s="4">
        <f t="shared" si="5"/>
        <v>0.65859864206009411</v>
      </c>
      <c r="H32" s="4">
        <f t="shared" si="0"/>
        <v>0</v>
      </c>
      <c r="I32" s="4">
        <f t="shared" si="1"/>
        <v>0</v>
      </c>
      <c r="J32" s="4">
        <f t="shared" si="6"/>
        <v>0</v>
      </c>
      <c r="K32" s="4">
        <f t="shared" si="7"/>
        <v>0</v>
      </c>
      <c r="L32" s="4">
        <f t="shared" si="8"/>
        <v>0</v>
      </c>
      <c r="M32" s="4">
        <f t="shared" si="9"/>
        <v>0</v>
      </c>
      <c r="N32" s="4">
        <f t="shared" si="10"/>
        <v>0</v>
      </c>
      <c r="O32" s="4">
        <f t="shared" si="11"/>
        <v>0</v>
      </c>
      <c r="P32" s="4">
        <f t="shared" si="12"/>
        <v>187549.84</v>
      </c>
      <c r="Q32" s="4">
        <f t="shared" si="2"/>
        <v>0.65859864206009411</v>
      </c>
      <c r="R32" s="4">
        <v>26</v>
      </c>
      <c r="S32" s="4">
        <f t="shared" si="15"/>
        <v>186639.31808954821</v>
      </c>
      <c r="T32" s="4">
        <f t="shared" si="17"/>
        <v>0.65540125999999999</v>
      </c>
      <c r="U32" s="11">
        <f t="shared" si="13"/>
        <v>97221.23000000001</v>
      </c>
      <c r="V32" s="11">
        <f t="shared" si="14"/>
        <v>0.34140135793990595</v>
      </c>
      <c r="X32" s="3">
        <v>41715</v>
      </c>
      <c r="Z32">
        <v>12343.71</v>
      </c>
      <c r="AB32">
        <v>12343.71</v>
      </c>
      <c r="AE32">
        <v>12343.71</v>
      </c>
      <c r="AG32">
        <v>103352.46</v>
      </c>
      <c r="AI32">
        <v>103352.46</v>
      </c>
      <c r="AK32">
        <v>45962.93</v>
      </c>
      <c r="AM32">
        <v>45962.93</v>
      </c>
      <c r="AO32">
        <v>22806.400000000001</v>
      </c>
      <c r="AQ32">
        <v>22806.400000000001</v>
      </c>
      <c r="AS32">
        <v>887.59</v>
      </c>
      <c r="AT32">
        <v>887.59</v>
      </c>
      <c r="AV32">
        <v>14540.46</v>
      </c>
      <c r="AX32">
        <v>14540.46</v>
      </c>
      <c r="AY32">
        <v>187549.84</v>
      </c>
      <c r="BA32">
        <v>10178.790000000001</v>
      </c>
      <c r="BC32">
        <v>10178.790000000001</v>
      </c>
      <c r="BG32">
        <v>10178.790000000001</v>
      </c>
      <c r="BW32">
        <v>284771.07</v>
      </c>
      <c r="BX32" s="1"/>
      <c r="BY32" s="1"/>
    </row>
    <row r="33" spans="4:77">
      <c r="D33" s="3">
        <v>41722</v>
      </c>
      <c r="E33" s="11">
        <f t="shared" si="3"/>
        <v>278256.62000000011</v>
      </c>
      <c r="F33" s="4">
        <f t="shared" si="4"/>
        <v>181422.41000000003</v>
      </c>
      <c r="G33" s="4">
        <f t="shared" si="5"/>
        <v>0.65199674315026168</v>
      </c>
      <c r="H33" s="4">
        <f t="shared" si="0"/>
        <v>0</v>
      </c>
      <c r="I33" s="4">
        <f t="shared" si="1"/>
        <v>0</v>
      </c>
      <c r="J33" s="4">
        <f t="shared" si="6"/>
        <v>0</v>
      </c>
      <c r="K33" s="4">
        <f t="shared" si="7"/>
        <v>0</v>
      </c>
      <c r="L33" s="4">
        <f t="shared" si="8"/>
        <v>0</v>
      </c>
      <c r="M33" s="4">
        <f t="shared" si="9"/>
        <v>0</v>
      </c>
      <c r="N33" s="4">
        <f t="shared" si="10"/>
        <v>0</v>
      </c>
      <c r="O33" s="4">
        <f t="shared" si="11"/>
        <v>0</v>
      </c>
      <c r="P33" s="4">
        <f t="shared" si="12"/>
        <v>181422.41000000003</v>
      </c>
      <c r="Q33" s="4">
        <f t="shared" si="2"/>
        <v>0.65199674315026168</v>
      </c>
      <c r="R33" s="4">
        <v>27</v>
      </c>
      <c r="S33" s="4">
        <f t="shared" si="15"/>
        <v>182448.62788567747</v>
      </c>
      <c r="T33" s="4">
        <f t="shared" si="17"/>
        <v>0.65568477000000003</v>
      </c>
      <c r="U33" s="11">
        <f t="shared" si="13"/>
        <v>96834.210000000079</v>
      </c>
      <c r="V33" s="11">
        <f t="shared" si="14"/>
        <v>0.34800325684973837</v>
      </c>
      <c r="X33" s="3">
        <v>41722</v>
      </c>
      <c r="Z33">
        <v>12034.33</v>
      </c>
      <c r="AB33">
        <v>12034.33</v>
      </c>
      <c r="AE33">
        <v>12034.33</v>
      </c>
      <c r="AG33">
        <v>98778.21</v>
      </c>
      <c r="AI33">
        <v>98778.21</v>
      </c>
      <c r="AK33">
        <v>45796.800000000003</v>
      </c>
      <c r="AM33">
        <v>45796.800000000003</v>
      </c>
      <c r="AO33">
        <v>22193.83</v>
      </c>
      <c r="AQ33">
        <v>22193.83</v>
      </c>
      <c r="AS33">
        <v>841.71</v>
      </c>
      <c r="AT33">
        <v>841.71</v>
      </c>
      <c r="AV33">
        <v>13811.86</v>
      </c>
      <c r="AX33">
        <v>13811.86</v>
      </c>
      <c r="AY33">
        <v>181422.41000000003</v>
      </c>
      <c r="BA33">
        <v>10204.06</v>
      </c>
      <c r="BC33">
        <v>10204.06</v>
      </c>
      <c r="BG33">
        <v>10204.06</v>
      </c>
      <c r="BW33">
        <v>278256.62000000011</v>
      </c>
      <c r="BX33" s="1"/>
      <c r="BY33" s="1"/>
    </row>
    <row r="34" spans="4:77">
      <c r="D34" s="3">
        <v>41729</v>
      </c>
      <c r="E34" s="11">
        <f t="shared" si="3"/>
        <v>258149.59000000008</v>
      </c>
      <c r="F34" s="4">
        <f t="shared" si="4"/>
        <v>167309.07000000004</v>
      </c>
      <c r="G34" s="4">
        <f t="shared" si="5"/>
        <v>0.64810898983027621</v>
      </c>
      <c r="H34" s="4">
        <f t="shared" si="0"/>
        <v>0</v>
      </c>
      <c r="I34" s="4">
        <f t="shared" si="1"/>
        <v>0</v>
      </c>
      <c r="J34" s="4">
        <f t="shared" si="6"/>
        <v>0</v>
      </c>
      <c r="K34" s="4">
        <f t="shared" si="7"/>
        <v>0</v>
      </c>
      <c r="L34" s="4">
        <f t="shared" si="8"/>
        <v>0</v>
      </c>
      <c r="M34" s="4">
        <f t="shared" si="9"/>
        <v>0</v>
      </c>
      <c r="N34" s="4">
        <f t="shared" si="10"/>
        <v>0</v>
      </c>
      <c r="O34" s="4">
        <f t="shared" si="11"/>
        <v>0</v>
      </c>
      <c r="P34" s="4">
        <f t="shared" si="12"/>
        <v>167309.07000000004</v>
      </c>
      <c r="Q34" s="4">
        <f t="shared" si="2"/>
        <v>0.64810898983027621</v>
      </c>
      <c r="R34" s="4">
        <v>28</v>
      </c>
      <c r="S34" s="4">
        <f t="shared" si="15"/>
        <v>169337.94253500525</v>
      </c>
      <c r="T34" s="4">
        <f t="shared" si="17"/>
        <v>0.65596827999999996</v>
      </c>
      <c r="U34" s="11">
        <f t="shared" si="13"/>
        <v>90840.520000000048</v>
      </c>
      <c r="V34" s="11">
        <f t="shared" si="14"/>
        <v>0.35189101016972374</v>
      </c>
      <c r="X34" s="3">
        <v>41729</v>
      </c>
      <c r="Z34">
        <v>11497.86</v>
      </c>
      <c r="AB34">
        <v>11497.86</v>
      </c>
      <c r="AE34">
        <v>11497.86</v>
      </c>
      <c r="AG34">
        <v>88429.49</v>
      </c>
      <c r="AI34">
        <v>88429.49</v>
      </c>
      <c r="AK34">
        <v>44730.03</v>
      </c>
      <c r="AM34">
        <v>44730.03</v>
      </c>
      <c r="AO34">
        <v>20536.62</v>
      </c>
      <c r="AQ34">
        <v>20536.62</v>
      </c>
      <c r="AS34">
        <v>228.39</v>
      </c>
      <c r="AT34">
        <v>228.39</v>
      </c>
      <c r="AV34">
        <v>13384.54</v>
      </c>
      <c r="AX34">
        <v>13384.54</v>
      </c>
      <c r="AY34">
        <v>167309.07000000004</v>
      </c>
      <c r="BA34">
        <v>9567.16</v>
      </c>
      <c r="BC34">
        <v>9567.16</v>
      </c>
      <c r="BG34">
        <v>9567.16</v>
      </c>
      <c r="BW34">
        <v>258149.59000000008</v>
      </c>
      <c r="BX34" s="1"/>
      <c r="BY34" s="1"/>
    </row>
    <row r="35" spans="4:77">
      <c r="D35" s="3">
        <v>41736</v>
      </c>
      <c r="E35" s="11">
        <f t="shared" si="3"/>
        <v>281782.27</v>
      </c>
      <c r="F35" s="4">
        <f t="shared" si="4"/>
        <v>185414.09</v>
      </c>
      <c r="G35" s="4">
        <f t="shared" si="5"/>
        <v>0.65800481343272588</v>
      </c>
      <c r="H35" s="4">
        <f t="shared" si="0"/>
        <v>0</v>
      </c>
      <c r="I35" s="4">
        <f t="shared" si="1"/>
        <v>0</v>
      </c>
      <c r="J35" s="4">
        <f t="shared" si="6"/>
        <v>0</v>
      </c>
      <c r="K35" s="4">
        <f t="shared" si="7"/>
        <v>0</v>
      </c>
      <c r="L35" s="4">
        <f t="shared" si="8"/>
        <v>0</v>
      </c>
      <c r="M35" s="4">
        <f t="shared" si="9"/>
        <v>0</v>
      </c>
      <c r="N35" s="4">
        <f t="shared" si="10"/>
        <v>0</v>
      </c>
      <c r="O35" s="4">
        <f t="shared" si="11"/>
        <v>0</v>
      </c>
      <c r="P35" s="4">
        <f t="shared" si="12"/>
        <v>185414.09</v>
      </c>
      <c r="Q35" s="4">
        <f t="shared" si="2"/>
        <v>0.65800481343272588</v>
      </c>
      <c r="R35" s="4">
        <v>29</v>
      </c>
      <c r="S35" s="4">
        <f t="shared" si="15"/>
        <v>184920.11907776332</v>
      </c>
      <c r="T35" s="4">
        <f t="shared" si="17"/>
        <v>0.65625179</v>
      </c>
      <c r="U35" s="11">
        <f t="shared" si="13"/>
        <v>96368.180000000022</v>
      </c>
      <c r="V35" s="11">
        <f t="shared" si="14"/>
        <v>0.34199518656727412</v>
      </c>
      <c r="X35" s="3">
        <v>41736</v>
      </c>
      <c r="Z35">
        <v>11854.16</v>
      </c>
      <c r="AB35">
        <v>11854.16</v>
      </c>
      <c r="AE35">
        <v>11854.16</v>
      </c>
      <c r="AG35">
        <v>99014.7</v>
      </c>
      <c r="AI35">
        <v>99014.7</v>
      </c>
      <c r="AK35">
        <v>49277.35</v>
      </c>
      <c r="AM35">
        <v>49277.35</v>
      </c>
      <c r="AO35">
        <v>23194.22</v>
      </c>
      <c r="AQ35">
        <v>23194.22</v>
      </c>
      <c r="AS35">
        <v>36.42</v>
      </c>
      <c r="AT35">
        <v>36.42</v>
      </c>
      <c r="AV35">
        <v>13891.4</v>
      </c>
      <c r="AX35">
        <v>13891.4</v>
      </c>
      <c r="AY35">
        <v>185414.09</v>
      </c>
      <c r="BA35">
        <v>9934.17</v>
      </c>
      <c r="BC35">
        <v>9934.17</v>
      </c>
      <c r="BG35">
        <v>9934.17</v>
      </c>
      <c r="BW35">
        <v>281782.27</v>
      </c>
      <c r="BX35" s="1"/>
      <c r="BY35" s="1"/>
    </row>
    <row r="36" spans="4:77">
      <c r="D36" s="3">
        <v>41743</v>
      </c>
      <c r="E36" s="11">
        <f t="shared" si="3"/>
        <v>277872.02</v>
      </c>
      <c r="F36" s="4">
        <f t="shared" si="4"/>
        <v>181093.23</v>
      </c>
      <c r="G36" s="4">
        <f t="shared" si="5"/>
        <v>0.65171451951153625</v>
      </c>
      <c r="H36" s="4">
        <f t="shared" si="0"/>
        <v>0</v>
      </c>
      <c r="I36" s="4">
        <f t="shared" si="1"/>
        <v>0</v>
      </c>
      <c r="J36" s="4">
        <f t="shared" si="6"/>
        <v>0</v>
      </c>
      <c r="K36" s="4">
        <f t="shared" si="7"/>
        <v>0</v>
      </c>
      <c r="L36" s="4">
        <f t="shared" si="8"/>
        <v>0</v>
      </c>
      <c r="M36" s="4">
        <f t="shared" si="9"/>
        <v>0</v>
      </c>
      <c r="N36" s="4">
        <f t="shared" si="10"/>
        <v>0</v>
      </c>
      <c r="O36" s="4">
        <f t="shared" si="11"/>
        <v>0</v>
      </c>
      <c r="P36" s="4">
        <f t="shared" si="12"/>
        <v>181093.23</v>
      </c>
      <c r="Q36" s="4">
        <f t="shared" ref="Q36:Q67" si="18">P36/E36</f>
        <v>0.65171451951153625</v>
      </c>
      <c r="R36" s="4">
        <v>30</v>
      </c>
      <c r="S36" s="4">
        <f t="shared" si="15"/>
        <v>182432.79001230601</v>
      </c>
      <c r="T36" s="4">
        <f t="shared" si="17"/>
        <v>0.65653530000000004</v>
      </c>
      <c r="U36" s="11">
        <f t="shared" si="13"/>
        <v>96778.790000000008</v>
      </c>
      <c r="V36" s="11">
        <f t="shared" si="14"/>
        <v>0.34828548048846375</v>
      </c>
      <c r="X36" s="3">
        <v>41743</v>
      </c>
      <c r="Z36">
        <v>12200.66</v>
      </c>
      <c r="AB36">
        <v>12200.66</v>
      </c>
      <c r="AE36">
        <v>12200.66</v>
      </c>
      <c r="AG36">
        <v>95932.17</v>
      </c>
      <c r="AI36">
        <v>95932.17</v>
      </c>
      <c r="AK36">
        <v>49290.18</v>
      </c>
      <c r="AM36">
        <v>49290.18</v>
      </c>
      <c r="AO36">
        <v>22854.400000000001</v>
      </c>
      <c r="AQ36">
        <v>22854.400000000001</v>
      </c>
      <c r="AV36">
        <v>13016.48</v>
      </c>
      <c r="AX36">
        <v>13016.48</v>
      </c>
      <c r="AY36">
        <v>181093.23</v>
      </c>
      <c r="BA36">
        <v>10108.18</v>
      </c>
      <c r="BC36">
        <v>10108.18</v>
      </c>
      <c r="BG36">
        <v>10108.18</v>
      </c>
      <c r="BW36">
        <v>277872.02</v>
      </c>
      <c r="BX36" s="1"/>
      <c r="BY36" s="1"/>
    </row>
    <row r="37" spans="4:77">
      <c r="D37" s="3">
        <v>41750</v>
      </c>
      <c r="E37" s="11">
        <f t="shared" si="3"/>
        <v>277644.59000000003</v>
      </c>
      <c r="F37" s="4">
        <f t="shared" si="4"/>
        <v>179128.65</v>
      </c>
      <c r="G37" s="4">
        <f t="shared" si="5"/>
        <v>0.64517248472228461</v>
      </c>
      <c r="H37" s="4">
        <f t="shared" si="0"/>
        <v>0</v>
      </c>
      <c r="I37" s="4">
        <f t="shared" si="1"/>
        <v>0</v>
      </c>
      <c r="J37" s="4">
        <f t="shared" si="6"/>
        <v>0</v>
      </c>
      <c r="K37" s="4">
        <f t="shared" si="7"/>
        <v>0</v>
      </c>
      <c r="L37" s="4">
        <f t="shared" si="8"/>
        <v>0</v>
      </c>
      <c r="M37" s="4">
        <f t="shared" si="9"/>
        <v>0</v>
      </c>
      <c r="N37" s="4">
        <f t="shared" si="10"/>
        <v>0</v>
      </c>
      <c r="O37" s="4">
        <f t="shared" si="11"/>
        <v>0</v>
      </c>
      <c r="P37" s="4">
        <f t="shared" si="12"/>
        <v>179128.65</v>
      </c>
      <c r="Q37" s="4">
        <f t="shared" si="18"/>
        <v>0.64517248472228461</v>
      </c>
      <c r="R37" s="4">
        <v>31</v>
      </c>
      <c r="S37" s="4">
        <f t="shared" si="15"/>
        <v>182362.18920673791</v>
      </c>
      <c r="T37" s="4">
        <f t="shared" si="17"/>
        <v>0.65681880999999998</v>
      </c>
      <c r="U37" s="11">
        <f t="shared" si="13"/>
        <v>98515.940000000031</v>
      </c>
      <c r="V37" s="11">
        <f t="shared" si="14"/>
        <v>0.35482751527771539</v>
      </c>
      <c r="X37" s="3">
        <v>41750</v>
      </c>
      <c r="Z37">
        <v>12139.62</v>
      </c>
      <c r="AB37">
        <v>12139.62</v>
      </c>
      <c r="AE37">
        <v>12139.62</v>
      </c>
      <c r="AG37">
        <v>95477.77</v>
      </c>
      <c r="AI37">
        <v>95477.77</v>
      </c>
      <c r="AK37">
        <v>48418.48</v>
      </c>
      <c r="AM37">
        <v>48418.48</v>
      </c>
      <c r="AO37">
        <v>22685.47</v>
      </c>
      <c r="AQ37">
        <v>22685.47</v>
      </c>
      <c r="AV37">
        <v>12546.93</v>
      </c>
      <c r="AX37">
        <v>12546.93</v>
      </c>
      <c r="AY37">
        <v>179128.65</v>
      </c>
      <c r="BA37">
        <v>10181.93</v>
      </c>
      <c r="BC37">
        <v>10181.93</v>
      </c>
      <c r="BG37">
        <v>10181.93</v>
      </c>
      <c r="BW37">
        <v>277644.59000000003</v>
      </c>
      <c r="BX37" s="1"/>
      <c r="BY37" s="1"/>
    </row>
    <row r="38" spans="4:77">
      <c r="D38" s="3">
        <v>41757</v>
      </c>
      <c r="E38" s="11">
        <f t="shared" si="3"/>
        <v>274201.57</v>
      </c>
      <c r="F38" s="4">
        <f t="shared" si="4"/>
        <v>177754.52</v>
      </c>
      <c r="G38" s="4">
        <f t="shared" si="5"/>
        <v>0.6482622254861633</v>
      </c>
      <c r="H38" s="4">
        <f t="shared" si="0"/>
        <v>0</v>
      </c>
      <c r="I38" s="4">
        <f t="shared" si="1"/>
        <v>0</v>
      </c>
      <c r="J38" s="4">
        <f t="shared" si="6"/>
        <v>0</v>
      </c>
      <c r="K38" s="4">
        <f t="shared" si="7"/>
        <v>0</v>
      </c>
      <c r="L38" s="4">
        <f t="shared" si="8"/>
        <v>0</v>
      </c>
      <c r="M38" s="4">
        <f t="shared" si="9"/>
        <v>0</v>
      </c>
      <c r="N38" s="4">
        <f t="shared" si="10"/>
        <v>0</v>
      </c>
      <c r="O38" s="4">
        <f t="shared" si="11"/>
        <v>0</v>
      </c>
      <c r="P38" s="4">
        <f t="shared" si="12"/>
        <v>177754.52</v>
      </c>
      <c r="Q38" s="4">
        <f t="shared" si="18"/>
        <v>0.6482622254861633</v>
      </c>
      <c r="R38" s="4">
        <v>32</v>
      </c>
      <c r="S38" s="4">
        <f t="shared" si="15"/>
        <v>180178.48779464239</v>
      </c>
      <c r="T38" s="4">
        <f t="shared" si="17"/>
        <v>0.65710232000000002</v>
      </c>
      <c r="U38" s="11">
        <f t="shared" si="13"/>
        <v>96447.050000000017</v>
      </c>
      <c r="V38" s="11">
        <f t="shared" si="14"/>
        <v>0.3517377745138367</v>
      </c>
      <c r="X38" s="3">
        <v>41757</v>
      </c>
      <c r="Z38">
        <v>11718.33</v>
      </c>
      <c r="AB38">
        <v>11718.33</v>
      </c>
      <c r="AE38">
        <v>11718.33</v>
      </c>
      <c r="AG38">
        <v>96179.09</v>
      </c>
      <c r="AI38">
        <v>96179.09</v>
      </c>
      <c r="AK38">
        <v>46114.69</v>
      </c>
      <c r="AM38">
        <v>46114.69</v>
      </c>
      <c r="AO38">
        <v>23673.03</v>
      </c>
      <c r="AQ38">
        <v>23673.03</v>
      </c>
      <c r="AV38">
        <v>11787.71</v>
      </c>
      <c r="AX38">
        <v>11787.71</v>
      </c>
      <c r="AY38">
        <v>177754.52</v>
      </c>
      <c r="BA38">
        <v>9917.76</v>
      </c>
      <c r="BC38">
        <v>9917.76</v>
      </c>
      <c r="BG38">
        <v>9917.76</v>
      </c>
      <c r="BW38">
        <v>274201.57</v>
      </c>
      <c r="BX38" s="1"/>
      <c r="BY38" s="1"/>
    </row>
    <row r="39" spans="4:77">
      <c r="D39" s="3">
        <v>41764</v>
      </c>
      <c r="E39" s="11">
        <f t="shared" si="3"/>
        <v>286950.5</v>
      </c>
      <c r="F39" s="4">
        <f t="shared" si="4"/>
        <v>188367.41999999998</v>
      </c>
      <c r="G39" s="4">
        <f t="shared" si="5"/>
        <v>0.65644569359523675</v>
      </c>
      <c r="H39" s="4">
        <f t="shared" si="0"/>
        <v>0</v>
      </c>
      <c r="I39" s="4">
        <f t="shared" si="1"/>
        <v>0</v>
      </c>
      <c r="J39" s="4">
        <f t="shared" si="6"/>
        <v>0</v>
      </c>
      <c r="K39" s="4">
        <f t="shared" si="7"/>
        <v>0</v>
      </c>
      <c r="L39" s="4">
        <f t="shared" si="8"/>
        <v>0</v>
      </c>
      <c r="M39" s="4">
        <f t="shared" si="9"/>
        <v>0</v>
      </c>
      <c r="N39" s="4">
        <f t="shared" si="10"/>
        <v>0</v>
      </c>
      <c r="O39" s="4">
        <f t="shared" si="11"/>
        <v>0</v>
      </c>
      <c r="P39" s="4">
        <f t="shared" si="12"/>
        <v>188367.41999999998</v>
      </c>
      <c r="Q39" s="4">
        <f t="shared" si="18"/>
        <v>0.65644569359523675</v>
      </c>
      <c r="R39" s="4">
        <v>33</v>
      </c>
      <c r="S39" s="4">
        <f t="shared" ref="S39:S70" si="19">T39*E39</f>
        <v>188637.192611415</v>
      </c>
      <c r="T39" s="4">
        <f t="shared" si="17"/>
        <v>0.65738582999999995</v>
      </c>
      <c r="U39" s="11">
        <f t="shared" si="13"/>
        <v>98583.080000000016</v>
      </c>
      <c r="V39" s="11">
        <f t="shared" si="14"/>
        <v>0.34355430640476325</v>
      </c>
      <c r="X39" s="3">
        <v>41764</v>
      </c>
      <c r="Z39">
        <v>12029.05</v>
      </c>
      <c r="AB39">
        <v>12029.05</v>
      </c>
      <c r="AE39">
        <v>12029.05</v>
      </c>
      <c r="AG39">
        <v>99469.59</v>
      </c>
      <c r="AI39">
        <v>99469.59</v>
      </c>
      <c r="AK39">
        <v>50647.46</v>
      </c>
      <c r="AM39">
        <v>50647.46</v>
      </c>
      <c r="AO39">
        <v>25679.23</v>
      </c>
      <c r="AQ39">
        <v>25679.23</v>
      </c>
      <c r="AV39">
        <v>12571.14</v>
      </c>
      <c r="AX39">
        <v>12571.14</v>
      </c>
      <c r="AY39">
        <v>188367.41999999998</v>
      </c>
      <c r="BA39">
        <v>10128.74</v>
      </c>
      <c r="BC39">
        <v>10128.74</v>
      </c>
      <c r="BG39">
        <v>10128.74</v>
      </c>
      <c r="BW39">
        <v>286950.5</v>
      </c>
      <c r="BX39" s="1"/>
      <c r="BY39" s="1"/>
    </row>
    <row r="40" spans="4:77">
      <c r="D40" s="3">
        <v>41771</v>
      </c>
      <c r="E40" s="11">
        <f t="shared" si="3"/>
        <v>301511.73000000004</v>
      </c>
      <c r="F40" s="4">
        <f t="shared" si="4"/>
        <v>199014.81</v>
      </c>
      <c r="G40" s="4">
        <f t="shared" si="5"/>
        <v>0.66005660874288363</v>
      </c>
      <c r="H40" s="4">
        <f t="shared" si="0"/>
        <v>0</v>
      </c>
      <c r="I40" s="4">
        <f t="shared" si="1"/>
        <v>0</v>
      </c>
      <c r="J40" s="4">
        <f t="shared" si="6"/>
        <v>0</v>
      </c>
      <c r="K40" s="4">
        <f t="shared" si="7"/>
        <v>0</v>
      </c>
      <c r="L40" s="4">
        <f t="shared" si="8"/>
        <v>0</v>
      </c>
      <c r="M40" s="4">
        <f t="shared" si="9"/>
        <v>0</v>
      </c>
      <c r="N40" s="4">
        <f t="shared" si="10"/>
        <v>0</v>
      </c>
      <c r="O40" s="4">
        <f t="shared" si="11"/>
        <v>0</v>
      </c>
      <c r="P40" s="4">
        <f t="shared" si="12"/>
        <v>199014.81</v>
      </c>
      <c r="Q40" s="4">
        <f t="shared" si="18"/>
        <v>0.66005660874288363</v>
      </c>
      <c r="R40" s="4">
        <v>34</v>
      </c>
      <c r="S40" s="4">
        <f t="shared" si="19"/>
        <v>198295.02047135824</v>
      </c>
      <c r="T40" s="4">
        <f t="shared" si="17"/>
        <v>0.65766933999999999</v>
      </c>
      <c r="U40" s="11">
        <f t="shared" si="13"/>
        <v>102496.92000000004</v>
      </c>
      <c r="V40" s="11">
        <f t="shared" si="14"/>
        <v>0.33994339125711637</v>
      </c>
      <c r="X40" s="3">
        <v>41771</v>
      </c>
      <c r="Z40">
        <v>12547.49</v>
      </c>
      <c r="AB40">
        <v>12547.49</v>
      </c>
      <c r="AE40">
        <v>12547.49</v>
      </c>
      <c r="AG40">
        <v>107097.39</v>
      </c>
      <c r="AI40">
        <v>107097.39</v>
      </c>
      <c r="AK40">
        <v>51955.360000000001</v>
      </c>
      <c r="AM40">
        <v>51955.360000000001</v>
      </c>
      <c r="AO40">
        <v>26449.03</v>
      </c>
      <c r="AQ40">
        <v>26449.03</v>
      </c>
      <c r="AV40">
        <v>13513.03</v>
      </c>
      <c r="AX40">
        <v>13513.03</v>
      </c>
      <c r="AY40">
        <v>199014.81</v>
      </c>
      <c r="BA40">
        <v>10403.950000000001</v>
      </c>
      <c r="BC40">
        <v>10403.950000000001</v>
      </c>
      <c r="BG40">
        <v>10403.950000000001</v>
      </c>
      <c r="BW40">
        <v>301511.73000000004</v>
      </c>
      <c r="BX40" s="1"/>
      <c r="BY40" s="1"/>
    </row>
    <row r="41" spans="4:77">
      <c r="D41" s="3">
        <v>41778</v>
      </c>
      <c r="E41" s="11">
        <f t="shared" si="3"/>
        <v>347717.26</v>
      </c>
      <c r="F41" s="4">
        <f t="shared" si="4"/>
        <v>226317.49999999997</v>
      </c>
      <c r="G41" s="4">
        <f t="shared" si="5"/>
        <v>0.6508664539689516</v>
      </c>
      <c r="H41" s="4">
        <f t="shared" si="0"/>
        <v>0</v>
      </c>
      <c r="I41" s="4">
        <f t="shared" si="1"/>
        <v>0</v>
      </c>
      <c r="J41" s="4">
        <f t="shared" si="6"/>
        <v>0</v>
      </c>
      <c r="K41" s="4">
        <f t="shared" si="7"/>
        <v>0</v>
      </c>
      <c r="L41" s="4">
        <f t="shared" si="8"/>
        <v>0</v>
      </c>
      <c r="M41" s="4">
        <f t="shared" si="9"/>
        <v>0</v>
      </c>
      <c r="N41" s="4">
        <f t="shared" si="10"/>
        <v>0</v>
      </c>
      <c r="O41" s="4">
        <f t="shared" si="11"/>
        <v>0</v>
      </c>
      <c r="P41" s="4">
        <f t="shared" si="12"/>
        <v>226317.49999999997</v>
      </c>
      <c r="Q41" s="4">
        <f t="shared" si="18"/>
        <v>0.6508664539689516</v>
      </c>
      <c r="R41" s="4">
        <v>35</v>
      </c>
      <c r="S41" s="4">
        <f t="shared" si="19"/>
        <v>228781.56221119102</v>
      </c>
      <c r="T41" s="4">
        <f t="shared" si="17"/>
        <v>0.65795285000000003</v>
      </c>
      <c r="U41" s="11">
        <f t="shared" si="13"/>
        <v>121399.76000000004</v>
      </c>
      <c r="V41" s="11">
        <f t="shared" si="14"/>
        <v>0.3491335460310484</v>
      </c>
      <c r="X41" s="3">
        <v>41778</v>
      </c>
      <c r="Z41">
        <v>15201.86</v>
      </c>
      <c r="AB41">
        <v>15201.86</v>
      </c>
      <c r="AE41">
        <v>15201.86</v>
      </c>
      <c r="AG41">
        <v>128661.48</v>
      </c>
      <c r="AI41">
        <v>128661.48</v>
      </c>
      <c r="AK41">
        <v>55735.57</v>
      </c>
      <c r="AM41">
        <v>55735.57</v>
      </c>
      <c r="AO41">
        <v>27376.92</v>
      </c>
      <c r="AQ41">
        <v>27376.92</v>
      </c>
      <c r="AV41">
        <v>14543.53</v>
      </c>
      <c r="AX41">
        <v>14543.53</v>
      </c>
      <c r="AY41">
        <v>226317.49999999997</v>
      </c>
      <c r="BA41">
        <v>12707.82</v>
      </c>
      <c r="BC41">
        <v>12707.82</v>
      </c>
      <c r="BG41">
        <v>12707.82</v>
      </c>
      <c r="BW41">
        <v>347717.26</v>
      </c>
      <c r="BX41" s="1"/>
      <c r="BY41" s="1"/>
    </row>
    <row r="42" spans="4:77">
      <c r="D42" s="3">
        <v>41785</v>
      </c>
      <c r="E42" s="11">
        <f t="shared" si="3"/>
        <v>256562.75999999995</v>
      </c>
      <c r="F42" s="4">
        <f t="shared" si="4"/>
        <v>166926.09999999998</v>
      </c>
      <c r="G42" s="4">
        <f t="shared" si="5"/>
        <v>0.65062482177849978</v>
      </c>
      <c r="H42" s="4">
        <f t="shared" si="0"/>
        <v>0</v>
      </c>
      <c r="I42" s="4">
        <f t="shared" si="1"/>
        <v>0</v>
      </c>
      <c r="J42" s="4">
        <f t="shared" si="6"/>
        <v>0</v>
      </c>
      <c r="K42" s="4">
        <f t="shared" si="7"/>
        <v>0</v>
      </c>
      <c r="L42" s="4">
        <f t="shared" si="8"/>
        <v>0</v>
      </c>
      <c r="M42" s="4">
        <f t="shared" si="9"/>
        <v>0</v>
      </c>
      <c r="N42" s="4">
        <f t="shared" si="10"/>
        <v>0</v>
      </c>
      <c r="O42" s="4">
        <f t="shared" si="11"/>
        <v>0</v>
      </c>
      <c r="P42" s="4">
        <f t="shared" si="12"/>
        <v>166926.09999999998</v>
      </c>
      <c r="Q42" s="4">
        <f t="shared" si="18"/>
        <v>0.65062482177849978</v>
      </c>
      <c r="R42" s="4">
        <v>36</v>
      </c>
      <c r="S42" s="4">
        <f t="shared" si="19"/>
        <v>168878.93725395357</v>
      </c>
      <c r="T42" s="4">
        <f t="shared" si="17"/>
        <v>0.65823635999999996</v>
      </c>
      <c r="U42" s="11">
        <f t="shared" si="13"/>
        <v>89636.659999999974</v>
      </c>
      <c r="V42" s="11">
        <f t="shared" si="14"/>
        <v>0.34937517822150022</v>
      </c>
      <c r="X42" s="3">
        <v>41785</v>
      </c>
      <c r="Z42">
        <v>10907.08</v>
      </c>
      <c r="AB42">
        <v>10907.08</v>
      </c>
      <c r="AE42">
        <v>10907.08</v>
      </c>
      <c r="AG42">
        <v>90510.91</v>
      </c>
      <c r="AI42">
        <v>90510.91</v>
      </c>
      <c r="AK42">
        <v>44985.02</v>
      </c>
      <c r="AM42">
        <v>44985.02</v>
      </c>
      <c r="AO42">
        <v>20335.05</v>
      </c>
      <c r="AQ42">
        <v>20335.05</v>
      </c>
      <c r="AV42">
        <v>11095.12</v>
      </c>
      <c r="AX42">
        <v>11095.12</v>
      </c>
      <c r="AY42">
        <v>166926.09999999998</v>
      </c>
      <c r="BA42">
        <v>9004.44</v>
      </c>
      <c r="BC42">
        <v>9004.44</v>
      </c>
      <c r="BG42">
        <v>9004.44</v>
      </c>
      <c r="BW42">
        <v>256562.75999999995</v>
      </c>
      <c r="BX42" s="1"/>
      <c r="BY42" s="1"/>
    </row>
    <row r="43" spans="4:77">
      <c r="D43" s="3">
        <v>41792</v>
      </c>
      <c r="E43" s="11">
        <f t="shared" si="3"/>
        <v>291452.36999999994</v>
      </c>
      <c r="F43" s="4">
        <f t="shared" si="4"/>
        <v>190227.81</v>
      </c>
      <c r="G43" s="4">
        <f t="shared" si="5"/>
        <v>0.65268918554342181</v>
      </c>
      <c r="H43" s="4">
        <f t="shared" si="0"/>
        <v>0</v>
      </c>
      <c r="I43" s="4">
        <f t="shared" si="1"/>
        <v>0</v>
      </c>
      <c r="J43" s="4">
        <f t="shared" si="6"/>
        <v>0</v>
      </c>
      <c r="K43" s="4">
        <f t="shared" si="7"/>
        <v>0</v>
      </c>
      <c r="L43" s="4">
        <f t="shared" si="8"/>
        <v>0</v>
      </c>
      <c r="M43" s="4">
        <f t="shared" si="9"/>
        <v>0</v>
      </c>
      <c r="N43" s="4">
        <f t="shared" si="10"/>
        <v>0</v>
      </c>
      <c r="O43" s="4">
        <f t="shared" si="11"/>
        <v>0</v>
      </c>
      <c r="P43" s="4">
        <f t="shared" si="12"/>
        <v>190227.81</v>
      </c>
      <c r="Q43" s="4">
        <f t="shared" si="18"/>
        <v>0.65268918554342181</v>
      </c>
      <c r="R43" s="4">
        <v>37</v>
      </c>
      <c r="S43" s="4">
        <f t="shared" si="19"/>
        <v>191927.17680359186</v>
      </c>
      <c r="T43" s="4">
        <f t="shared" si="17"/>
        <v>0.65851987000000001</v>
      </c>
      <c r="U43" s="11">
        <f t="shared" si="13"/>
        <v>101224.55999999994</v>
      </c>
      <c r="V43" s="11">
        <f t="shared" si="14"/>
        <v>0.34731081445657813</v>
      </c>
      <c r="X43" s="3">
        <v>41792</v>
      </c>
      <c r="Z43">
        <v>12332.64</v>
      </c>
      <c r="AB43">
        <v>12332.64</v>
      </c>
      <c r="AE43">
        <v>12332.64</v>
      </c>
      <c r="AG43">
        <v>102460.14</v>
      </c>
      <c r="AI43">
        <v>102460.14</v>
      </c>
      <c r="AK43">
        <v>52634.1</v>
      </c>
      <c r="AM43">
        <v>52634.1</v>
      </c>
      <c r="AO43">
        <v>22076.65</v>
      </c>
      <c r="AQ43">
        <v>22076.65</v>
      </c>
      <c r="AV43">
        <v>13056.92</v>
      </c>
      <c r="AX43">
        <v>13056.92</v>
      </c>
      <c r="AY43">
        <v>190227.81</v>
      </c>
      <c r="BA43">
        <v>10203.39</v>
      </c>
      <c r="BC43">
        <v>10203.39</v>
      </c>
      <c r="BG43">
        <v>10203.39</v>
      </c>
      <c r="BW43">
        <v>291452.36999999994</v>
      </c>
      <c r="BX43" s="1"/>
      <c r="BY43" s="1"/>
    </row>
    <row r="44" spans="4:77">
      <c r="D44" s="3">
        <v>41799</v>
      </c>
      <c r="E44" s="11">
        <f t="shared" si="3"/>
        <v>297059.48000000004</v>
      </c>
      <c r="F44" s="4">
        <f t="shared" si="4"/>
        <v>195365.29</v>
      </c>
      <c r="G44" s="4">
        <f t="shared" si="5"/>
        <v>0.65766387930120929</v>
      </c>
      <c r="H44" s="4">
        <f t="shared" si="0"/>
        <v>0</v>
      </c>
      <c r="I44" s="4">
        <f t="shared" si="1"/>
        <v>0</v>
      </c>
      <c r="J44" s="4">
        <f t="shared" si="6"/>
        <v>0</v>
      </c>
      <c r="K44" s="4">
        <f t="shared" si="7"/>
        <v>0</v>
      </c>
      <c r="L44" s="4">
        <f t="shared" si="8"/>
        <v>0</v>
      </c>
      <c r="M44" s="4">
        <f t="shared" si="9"/>
        <v>0</v>
      </c>
      <c r="N44" s="4">
        <f t="shared" si="10"/>
        <v>0</v>
      </c>
      <c r="O44" s="4">
        <f t="shared" si="11"/>
        <v>0</v>
      </c>
      <c r="P44" s="4">
        <f t="shared" si="12"/>
        <v>195365.29</v>
      </c>
      <c r="Q44" s="4">
        <f t="shared" si="18"/>
        <v>0.65766387930120929</v>
      </c>
      <c r="R44" s="4">
        <v>38</v>
      </c>
      <c r="S44" s="4">
        <f t="shared" si="19"/>
        <v>195703.78948504245</v>
      </c>
      <c r="T44" s="4">
        <f t="shared" si="17"/>
        <v>0.65880338000000005</v>
      </c>
      <c r="U44" s="11">
        <f t="shared" si="13"/>
        <v>101694.19000000003</v>
      </c>
      <c r="V44" s="11">
        <f t="shared" si="14"/>
        <v>0.34233612069879077</v>
      </c>
      <c r="X44" s="3">
        <v>41799</v>
      </c>
      <c r="Z44">
        <v>12325.4</v>
      </c>
      <c r="AB44">
        <v>12325.4</v>
      </c>
      <c r="AE44">
        <v>12325.4</v>
      </c>
      <c r="AG44">
        <v>101540.31</v>
      </c>
      <c r="AI44">
        <v>101540.31</v>
      </c>
      <c r="AK44">
        <v>56648.91</v>
      </c>
      <c r="AM44">
        <v>56648.91</v>
      </c>
      <c r="AO44">
        <v>22284.42</v>
      </c>
      <c r="AQ44">
        <v>22284.42</v>
      </c>
      <c r="AV44">
        <v>14891.65</v>
      </c>
      <c r="AX44">
        <v>14891.65</v>
      </c>
      <c r="AY44">
        <v>195365.29</v>
      </c>
      <c r="BA44">
        <v>10237.450000000001</v>
      </c>
      <c r="BC44">
        <v>10237.450000000001</v>
      </c>
      <c r="BG44">
        <v>10237.450000000001</v>
      </c>
      <c r="BW44">
        <v>297059.48000000004</v>
      </c>
      <c r="BX44" s="1"/>
      <c r="BY44" s="1"/>
    </row>
    <row r="45" spans="4:77">
      <c r="D45" s="3">
        <v>41806</v>
      </c>
      <c r="E45" s="11">
        <f t="shared" si="3"/>
        <v>297438.81</v>
      </c>
      <c r="F45" s="4">
        <f t="shared" si="4"/>
        <v>196970.2</v>
      </c>
      <c r="G45" s="4">
        <f t="shared" si="5"/>
        <v>0.66222091192470822</v>
      </c>
      <c r="H45" s="4">
        <f t="shared" si="0"/>
        <v>0</v>
      </c>
      <c r="I45" s="4">
        <f t="shared" si="1"/>
        <v>0</v>
      </c>
      <c r="J45" s="4">
        <f t="shared" si="6"/>
        <v>0</v>
      </c>
      <c r="K45" s="4">
        <f t="shared" si="7"/>
        <v>0</v>
      </c>
      <c r="L45" s="4">
        <f t="shared" si="8"/>
        <v>0</v>
      </c>
      <c r="M45" s="4">
        <f t="shared" si="9"/>
        <v>0</v>
      </c>
      <c r="N45" s="4">
        <f t="shared" si="10"/>
        <v>0</v>
      </c>
      <c r="O45" s="4">
        <f t="shared" si="11"/>
        <v>0</v>
      </c>
      <c r="P45" s="4">
        <f t="shared" si="12"/>
        <v>196970.2</v>
      </c>
      <c r="Q45" s="4">
        <f t="shared" si="18"/>
        <v>0.66222091192470822</v>
      </c>
      <c r="R45" s="4">
        <v>39</v>
      </c>
      <c r="S45" s="4">
        <f t="shared" si="19"/>
        <v>196038.02024820089</v>
      </c>
      <c r="T45" s="4">
        <f t="shared" si="17"/>
        <v>0.65908688999999998</v>
      </c>
      <c r="U45" s="11">
        <f t="shared" si="13"/>
        <v>100468.60999999999</v>
      </c>
      <c r="V45" s="11">
        <f t="shared" si="14"/>
        <v>0.33777908807529183</v>
      </c>
      <c r="X45" s="3">
        <v>41806</v>
      </c>
      <c r="Z45">
        <v>12586.26</v>
      </c>
      <c r="AB45">
        <v>12586.26</v>
      </c>
      <c r="AE45">
        <v>12586.26</v>
      </c>
      <c r="AG45">
        <v>101077.45</v>
      </c>
      <c r="AI45">
        <v>101077.45</v>
      </c>
      <c r="AK45">
        <v>58170.55</v>
      </c>
      <c r="AM45">
        <v>58170.55</v>
      </c>
      <c r="AO45">
        <v>22679.94</v>
      </c>
      <c r="AQ45">
        <v>22679.94</v>
      </c>
      <c r="AV45">
        <v>15042.26</v>
      </c>
      <c r="AX45">
        <v>15042.26</v>
      </c>
      <c r="AY45">
        <v>196970.2</v>
      </c>
      <c r="BA45">
        <v>10240.75</v>
      </c>
      <c r="BC45">
        <v>10240.75</v>
      </c>
      <c r="BG45">
        <v>10240.75</v>
      </c>
      <c r="BW45">
        <v>297438.81</v>
      </c>
      <c r="BX45" s="1"/>
      <c r="BY45" s="1"/>
    </row>
    <row r="46" spans="4:77">
      <c r="D46" s="3">
        <v>41813</v>
      </c>
      <c r="E46" s="11">
        <f t="shared" si="3"/>
        <v>326579.20000000001</v>
      </c>
      <c r="F46" s="4">
        <f t="shared" si="4"/>
        <v>214491.75999999998</v>
      </c>
      <c r="G46" s="4">
        <f t="shared" si="5"/>
        <v>0.65678328564709565</v>
      </c>
      <c r="H46" s="4">
        <f t="shared" si="0"/>
        <v>0</v>
      </c>
      <c r="I46" s="4">
        <f t="shared" si="1"/>
        <v>0</v>
      </c>
      <c r="J46" s="4">
        <f t="shared" si="6"/>
        <v>0</v>
      </c>
      <c r="K46" s="4">
        <f t="shared" si="7"/>
        <v>0</v>
      </c>
      <c r="L46" s="4">
        <f t="shared" si="8"/>
        <v>0</v>
      </c>
      <c r="M46" s="4">
        <f t="shared" si="9"/>
        <v>0</v>
      </c>
      <c r="N46" s="4">
        <f t="shared" si="10"/>
        <v>1.42</v>
      </c>
      <c r="O46" s="4">
        <f t="shared" si="11"/>
        <v>4.3481030022732617E-6</v>
      </c>
      <c r="P46" s="4">
        <f t="shared" si="12"/>
        <v>214493.18</v>
      </c>
      <c r="Q46" s="4">
        <f t="shared" si="18"/>
        <v>0.65678763375009797</v>
      </c>
      <c r="R46" s="4">
        <v>40</v>
      </c>
      <c r="S46" s="4">
        <f t="shared" si="19"/>
        <v>215336.65773568003</v>
      </c>
      <c r="T46" s="4">
        <f t="shared" si="17"/>
        <v>0.65937040000000002</v>
      </c>
      <c r="U46" s="11">
        <f t="shared" si="13"/>
        <v>112086.02000000002</v>
      </c>
      <c r="V46" s="11">
        <f t="shared" si="14"/>
        <v>0.34321236624990203</v>
      </c>
      <c r="X46" s="3">
        <v>41813</v>
      </c>
      <c r="Z46">
        <v>14025.01</v>
      </c>
      <c r="AB46">
        <v>14025.01</v>
      </c>
      <c r="AE46">
        <v>14025.01</v>
      </c>
      <c r="AG46">
        <v>120413.14</v>
      </c>
      <c r="AI46">
        <v>120413.14</v>
      </c>
      <c r="AK46">
        <v>57565.09</v>
      </c>
      <c r="AM46">
        <v>57565.09</v>
      </c>
      <c r="AO46">
        <v>21891.74</v>
      </c>
      <c r="AQ46">
        <v>21891.74</v>
      </c>
      <c r="AV46">
        <v>14621.79</v>
      </c>
      <c r="AX46">
        <v>14621.79</v>
      </c>
      <c r="AY46">
        <v>214491.75999999998</v>
      </c>
      <c r="BA46">
        <v>11598.55</v>
      </c>
      <c r="BC46">
        <v>11598.55</v>
      </c>
      <c r="BG46">
        <v>11598.55</v>
      </c>
      <c r="BJ46">
        <v>1.42</v>
      </c>
      <c r="BL46">
        <v>1.42</v>
      </c>
      <c r="BM46">
        <v>1.42</v>
      </c>
      <c r="BW46">
        <v>326579.20000000001</v>
      </c>
      <c r="BX46" s="1"/>
      <c r="BY46" s="1"/>
    </row>
    <row r="47" spans="4:77">
      <c r="D47" s="3">
        <v>41820</v>
      </c>
      <c r="E47" s="11">
        <f t="shared" si="3"/>
        <v>272281.77999999997</v>
      </c>
      <c r="F47" s="4">
        <f t="shared" si="4"/>
        <v>178120.49</v>
      </c>
      <c r="G47" s="4">
        <f t="shared" si="5"/>
        <v>0.65417704409013344</v>
      </c>
      <c r="H47" s="4">
        <f t="shared" si="0"/>
        <v>0</v>
      </c>
      <c r="I47" s="4">
        <f t="shared" si="1"/>
        <v>0</v>
      </c>
      <c r="J47" s="4">
        <f t="shared" si="6"/>
        <v>0</v>
      </c>
      <c r="K47" s="4">
        <f t="shared" si="7"/>
        <v>0</v>
      </c>
      <c r="L47" s="4">
        <f t="shared" si="8"/>
        <v>0</v>
      </c>
      <c r="M47" s="4">
        <f t="shared" si="9"/>
        <v>0</v>
      </c>
      <c r="N47" s="4">
        <f t="shared" si="10"/>
        <v>1.42</v>
      </c>
      <c r="O47" s="4">
        <f t="shared" si="11"/>
        <v>5.2151855331634752E-6</v>
      </c>
      <c r="P47" s="4">
        <f t="shared" si="12"/>
        <v>178121.91</v>
      </c>
      <c r="Q47" s="4">
        <f t="shared" si="18"/>
        <v>0.65418225927566664</v>
      </c>
      <c r="R47" s="4">
        <v>41</v>
      </c>
      <c r="S47" s="4">
        <f t="shared" si="19"/>
        <v>179611.74079875977</v>
      </c>
      <c r="T47" s="4">
        <f t="shared" si="17"/>
        <v>0.65965390999999995</v>
      </c>
      <c r="U47" s="11">
        <f t="shared" si="13"/>
        <v>94159.869999999966</v>
      </c>
      <c r="V47" s="11">
        <f t="shared" si="14"/>
        <v>0.34581774072433336</v>
      </c>
      <c r="X47" s="3">
        <v>41820</v>
      </c>
      <c r="Z47">
        <v>11509.9</v>
      </c>
      <c r="AB47">
        <v>11509.9</v>
      </c>
      <c r="AE47">
        <v>11509.9</v>
      </c>
      <c r="AG47">
        <v>98021.38</v>
      </c>
      <c r="AI47">
        <v>98021.38</v>
      </c>
      <c r="AK47">
        <v>49405.17</v>
      </c>
      <c r="AM47">
        <v>49405.17</v>
      </c>
      <c r="AO47">
        <v>18943.96</v>
      </c>
      <c r="AQ47">
        <v>18943.96</v>
      </c>
      <c r="AV47">
        <v>11749.98</v>
      </c>
      <c r="AX47">
        <v>11749.98</v>
      </c>
      <c r="AY47">
        <v>178120.49</v>
      </c>
      <c r="BA47">
        <v>9832.9500000000007</v>
      </c>
      <c r="BC47">
        <v>9832.9500000000007</v>
      </c>
      <c r="BG47">
        <v>9832.9500000000007</v>
      </c>
      <c r="BJ47">
        <v>1.42</v>
      </c>
      <c r="BL47">
        <v>1.42</v>
      </c>
      <c r="BM47">
        <v>1.42</v>
      </c>
      <c r="BW47">
        <v>272281.77999999997</v>
      </c>
      <c r="BX47" s="1"/>
      <c r="BY47" s="1"/>
    </row>
    <row r="48" spans="4:77">
      <c r="D48" s="3">
        <v>41827</v>
      </c>
      <c r="E48" s="11">
        <f t="shared" si="3"/>
        <v>293366.35000000003</v>
      </c>
      <c r="F48" s="4">
        <f t="shared" si="4"/>
        <v>192643.08000000002</v>
      </c>
      <c r="G48" s="4">
        <f t="shared" si="5"/>
        <v>0.65666386073249372</v>
      </c>
      <c r="H48" s="4">
        <f t="shared" si="0"/>
        <v>0</v>
      </c>
      <c r="I48" s="4">
        <f t="shared" si="1"/>
        <v>0</v>
      </c>
      <c r="J48" s="4">
        <f t="shared" si="6"/>
        <v>0</v>
      </c>
      <c r="K48" s="4">
        <f t="shared" si="7"/>
        <v>0</v>
      </c>
      <c r="L48" s="4">
        <f t="shared" si="8"/>
        <v>0</v>
      </c>
      <c r="M48" s="4">
        <f t="shared" si="9"/>
        <v>0</v>
      </c>
      <c r="N48" s="4">
        <f t="shared" si="10"/>
        <v>2.84</v>
      </c>
      <c r="O48" s="4">
        <f t="shared" si="11"/>
        <v>9.6807285498149309E-6</v>
      </c>
      <c r="P48" s="4">
        <f t="shared" si="12"/>
        <v>192645.92</v>
      </c>
      <c r="Q48" s="4">
        <f t="shared" si="18"/>
        <v>0.65667354146104351</v>
      </c>
      <c r="R48" s="4">
        <v>42</v>
      </c>
      <c r="S48" s="4">
        <f t="shared" si="19"/>
        <v>193603.43213381703</v>
      </c>
      <c r="T48" s="4">
        <f t="shared" si="17"/>
        <v>0.65993742</v>
      </c>
      <c r="U48" s="11">
        <f t="shared" si="13"/>
        <v>100720.43000000002</v>
      </c>
      <c r="V48" s="11">
        <f t="shared" si="14"/>
        <v>0.34332645853895655</v>
      </c>
      <c r="X48" s="3">
        <v>41827</v>
      </c>
      <c r="Z48">
        <v>12396.53</v>
      </c>
      <c r="AB48">
        <v>12396.53</v>
      </c>
      <c r="AE48">
        <v>12396.53</v>
      </c>
      <c r="AG48">
        <v>101772.59</v>
      </c>
      <c r="AI48">
        <v>101772.59</v>
      </c>
      <c r="AK48">
        <v>55450.92</v>
      </c>
      <c r="AM48">
        <v>55450.92</v>
      </c>
      <c r="AO48">
        <v>22242.15</v>
      </c>
      <c r="AQ48">
        <v>22242.15</v>
      </c>
      <c r="AV48">
        <v>13177.42</v>
      </c>
      <c r="AX48">
        <v>13177.42</v>
      </c>
      <c r="AY48">
        <v>192643.08000000002</v>
      </c>
      <c r="BA48">
        <v>10111.75</v>
      </c>
      <c r="BC48">
        <v>10111.75</v>
      </c>
      <c r="BG48">
        <v>10111.75</v>
      </c>
      <c r="BJ48">
        <v>2.84</v>
      </c>
      <c r="BL48">
        <v>2.84</v>
      </c>
      <c r="BM48">
        <v>2.84</v>
      </c>
      <c r="BW48">
        <v>293366.35000000003</v>
      </c>
      <c r="BX48" s="1"/>
      <c r="BY48" s="1"/>
    </row>
    <row r="49" spans="4:77">
      <c r="D49" s="3">
        <v>41834</v>
      </c>
      <c r="E49" s="11">
        <f t="shared" si="3"/>
        <v>289853.44</v>
      </c>
      <c r="F49" s="4">
        <f t="shared" si="4"/>
        <v>192100.31</v>
      </c>
      <c r="G49" s="4">
        <f t="shared" si="5"/>
        <v>0.6627498021068855</v>
      </c>
      <c r="H49" s="4">
        <f t="shared" si="0"/>
        <v>0</v>
      </c>
      <c r="I49" s="4">
        <f t="shared" si="1"/>
        <v>0</v>
      </c>
      <c r="J49" s="4">
        <f t="shared" si="6"/>
        <v>0</v>
      </c>
      <c r="K49" s="4">
        <f t="shared" si="7"/>
        <v>0</v>
      </c>
      <c r="L49" s="4">
        <f t="shared" si="8"/>
        <v>0</v>
      </c>
      <c r="M49" s="4">
        <f t="shared" si="9"/>
        <v>0</v>
      </c>
      <c r="N49" s="4">
        <f t="shared" si="10"/>
        <v>15.62</v>
      </c>
      <c r="O49" s="4">
        <f t="shared" si="11"/>
        <v>5.3889303504557334E-5</v>
      </c>
      <c r="P49" s="4">
        <f t="shared" si="12"/>
        <v>192115.93</v>
      </c>
      <c r="Q49" s="4">
        <f t="shared" si="18"/>
        <v>0.66280369141038997</v>
      </c>
      <c r="R49" s="4">
        <v>43</v>
      </c>
      <c r="S49" s="4">
        <f t="shared" si="19"/>
        <v>191367.3077204992</v>
      </c>
      <c r="T49" s="4">
        <f t="shared" si="17"/>
        <v>0.66022093000000004</v>
      </c>
      <c r="U49" s="11">
        <f t="shared" si="13"/>
        <v>97737.510000000009</v>
      </c>
      <c r="V49" s="11">
        <f t="shared" si="14"/>
        <v>0.33719630858961003</v>
      </c>
      <c r="X49" s="3">
        <v>41834</v>
      </c>
      <c r="Z49">
        <v>12002.94</v>
      </c>
      <c r="AB49">
        <v>12002.94</v>
      </c>
      <c r="AE49">
        <v>12002.94</v>
      </c>
      <c r="AG49">
        <v>101842.67</v>
      </c>
      <c r="AI49">
        <v>101842.67</v>
      </c>
      <c r="AK49">
        <v>55348.9</v>
      </c>
      <c r="AM49">
        <v>55348.9</v>
      </c>
      <c r="AO49">
        <v>22518.52</v>
      </c>
      <c r="AQ49">
        <v>22518.52</v>
      </c>
      <c r="AV49">
        <v>12390.22</v>
      </c>
      <c r="AX49">
        <v>12390.22</v>
      </c>
      <c r="AY49">
        <v>192100.31</v>
      </c>
      <c r="BA49">
        <v>9769.1299999999992</v>
      </c>
      <c r="BC49">
        <v>9769.1299999999992</v>
      </c>
      <c r="BG49">
        <v>9769.1299999999992</v>
      </c>
      <c r="BJ49">
        <v>15.62</v>
      </c>
      <c r="BL49">
        <v>15.62</v>
      </c>
      <c r="BM49">
        <v>15.62</v>
      </c>
      <c r="BW49">
        <v>289853.44</v>
      </c>
      <c r="BX49" s="1"/>
      <c r="BY49" s="1"/>
    </row>
    <row r="50" spans="4:77">
      <c r="D50" s="3">
        <v>41841</v>
      </c>
      <c r="E50" s="11">
        <f t="shared" si="3"/>
        <v>281384.67000000004</v>
      </c>
      <c r="F50" s="4">
        <f t="shared" si="4"/>
        <v>183789.46999999997</v>
      </c>
      <c r="G50" s="4">
        <f t="shared" si="5"/>
        <v>0.65316092024487316</v>
      </c>
      <c r="H50" s="4">
        <f t="shared" si="0"/>
        <v>0</v>
      </c>
      <c r="I50" s="4">
        <f t="shared" si="1"/>
        <v>0</v>
      </c>
      <c r="J50" s="4">
        <f t="shared" si="6"/>
        <v>0</v>
      </c>
      <c r="K50" s="4">
        <f t="shared" si="7"/>
        <v>0</v>
      </c>
      <c r="L50" s="4">
        <f t="shared" si="8"/>
        <v>0</v>
      </c>
      <c r="M50" s="4">
        <f t="shared" si="9"/>
        <v>0</v>
      </c>
      <c r="N50" s="4">
        <f t="shared" si="10"/>
        <v>0</v>
      </c>
      <c r="O50" s="4">
        <f t="shared" si="11"/>
        <v>0</v>
      </c>
      <c r="P50" s="4">
        <f t="shared" si="12"/>
        <v>183789.46999999997</v>
      </c>
      <c r="Q50" s="4">
        <f t="shared" si="18"/>
        <v>0.65316092024487316</v>
      </c>
      <c r="R50" s="4">
        <v>44</v>
      </c>
      <c r="S50" s="4">
        <f t="shared" si="19"/>
        <v>185855.82388293481</v>
      </c>
      <c r="T50" s="4">
        <f t="shared" si="17"/>
        <v>0.66050443999999997</v>
      </c>
      <c r="U50" s="11">
        <f t="shared" si="13"/>
        <v>97595.20000000007</v>
      </c>
      <c r="V50" s="11">
        <f t="shared" si="14"/>
        <v>0.34683907975512684</v>
      </c>
      <c r="X50" s="3">
        <v>41841</v>
      </c>
      <c r="Z50">
        <v>11695.15</v>
      </c>
      <c r="AB50">
        <v>11695.15</v>
      </c>
      <c r="AE50">
        <v>11695.15</v>
      </c>
      <c r="AG50">
        <v>97091.09</v>
      </c>
      <c r="AI50">
        <v>97091.09</v>
      </c>
      <c r="AK50">
        <v>53622.89</v>
      </c>
      <c r="AM50">
        <v>53622.89</v>
      </c>
      <c r="AO50">
        <v>21279.93</v>
      </c>
      <c r="AQ50">
        <v>21279.93</v>
      </c>
      <c r="AV50">
        <v>11795.56</v>
      </c>
      <c r="AX50">
        <v>11795.56</v>
      </c>
      <c r="AY50">
        <v>183789.46999999997</v>
      </c>
      <c r="BA50">
        <v>9683.9</v>
      </c>
      <c r="BC50">
        <v>9683.9</v>
      </c>
      <c r="BG50">
        <v>9683.9</v>
      </c>
      <c r="BW50">
        <v>281384.67000000004</v>
      </c>
      <c r="BX50" s="1"/>
      <c r="BY50" s="1"/>
    </row>
    <row r="51" spans="4:77">
      <c r="D51" s="3">
        <v>41848</v>
      </c>
      <c r="E51" s="11">
        <f t="shared" si="3"/>
        <v>288876.01</v>
      </c>
      <c r="F51" s="4">
        <f t="shared" si="4"/>
        <v>190458.03</v>
      </c>
      <c r="G51" s="4">
        <f t="shared" si="5"/>
        <v>0.65930718857547221</v>
      </c>
      <c r="H51" s="4">
        <f t="shared" si="0"/>
        <v>0</v>
      </c>
      <c r="I51" s="4">
        <f t="shared" si="1"/>
        <v>0</v>
      </c>
      <c r="J51" s="4">
        <f t="shared" si="6"/>
        <v>0</v>
      </c>
      <c r="K51" s="4">
        <f t="shared" si="7"/>
        <v>0</v>
      </c>
      <c r="L51" s="4">
        <f t="shared" si="8"/>
        <v>0</v>
      </c>
      <c r="M51" s="4">
        <f t="shared" si="9"/>
        <v>0</v>
      </c>
      <c r="N51" s="4">
        <f t="shared" si="10"/>
        <v>0</v>
      </c>
      <c r="O51" s="4">
        <f t="shared" si="11"/>
        <v>0</v>
      </c>
      <c r="P51" s="4">
        <f t="shared" si="12"/>
        <v>190458.03</v>
      </c>
      <c r="Q51" s="4">
        <f t="shared" si="18"/>
        <v>0.65930718857547221</v>
      </c>
      <c r="R51" s="4">
        <v>45</v>
      </c>
      <c r="S51" s="4">
        <f t="shared" si="19"/>
        <v>190885.78645207951</v>
      </c>
      <c r="T51" s="4">
        <f t="shared" si="17"/>
        <v>0.66078795000000001</v>
      </c>
      <c r="U51" s="11">
        <f t="shared" si="13"/>
        <v>98417.98000000001</v>
      </c>
      <c r="V51" s="11">
        <f t="shared" si="14"/>
        <v>0.34069281142452779</v>
      </c>
      <c r="X51" s="3">
        <v>41848</v>
      </c>
      <c r="Z51">
        <v>11666.21</v>
      </c>
      <c r="AB51">
        <v>11666.21</v>
      </c>
      <c r="AE51">
        <v>11666.21</v>
      </c>
      <c r="AG51">
        <v>104127.17</v>
      </c>
      <c r="AI51">
        <v>104127.17</v>
      </c>
      <c r="AK51">
        <v>52780.76</v>
      </c>
      <c r="AM51">
        <v>52780.76</v>
      </c>
      <c r="AO51">
        <v>21632.39</v>
      </c>
      <c r="AQ51">
        <v>21632.39</v>
      </c>
      <c r="AV51">
        <v>11917.71</v>
      </c>
      <c r="AX51">
        <v>11917.71</v>
      </c>
      <c r="AY51">
        <v>190458.03</v>
      </c>
      <c r="BA51">
        <v>9574.32</v>
      </c>
      <c r="BC51">
        <v>9574.32</v>
      </c>
      <c r="BG51">
        <v>9574.32</v>
      </c>
      <c r="BW51">
        <v>288876.01</v>
      </c>
      <c r="BX51" s="1"/>
      <c r="BY51" s="1"/>
    </row>
    <row r="52" spans="4:77">
      <c r="D52" s="3">
        <v>41855</v>
      </c>
      <c r="E52" s="11">
        <f t="shared" si="3"/>
        <v>280982.3899999999</v>
      </c>
      <c r="F52" s="4">
        <f t="shared" si="4"/>
        <v>185071.44</v>
      </c>
      <c r="G52" s="4">
        <f t="shared" si="5"/>
        <v>0.65865850169471496</v>
      </c>
      <c r="H52" s="4">
        <f t="shared" si="0"/>
        <v>0</v>
      </c>
      <c r="I52" s="4">
        <f t="shared" si="1"/>
        <v>0</v>
      </c>
      <c r="J52" s="4">
        <f t="shared" si="6"/>
        <v>0</v>
      </c>
      <c r="K52" s="4">
        <f t="shared" si="7"/>
        <v>0</v>
      </c>
      <c r="L52" s="4">
        <f t="shared" si="8"/>
        <v>0</v>
      </c>
      <c r="M52" s="4">
        <f t="shared" si="9"/>
        <v>0</v>
      </c>
      <c r="N52" s="4">
        <f t="shared" si="10"/>
        <v>0</v>
      </c>
      <c r="O52" s="4">
        <f t="shared" si="11"/>
        <v>0</v>
      </c>
      <c r="P52" s="4">
        <f t="shared" si="12"/>
        <v>185071.44</v>
      </c>
      <c r="Q52" s="4">
        <f t="shared" si="18"/>
        <v>0.65865850169471496</v>
      </c>
      <c r="R52" s="4">
        <v>46</v>
      </c>
      <c r="S52" s="4">
        <f t="shared" si="19"/>
        <v>185749.43879158932</v>
      </c>
      <c r="T52" s="4">
        <f t="shared" si="17"/>
        <v>0.66107145999999994</v>
      </c>
      <c r="U52" s="11">
        <f t="shared" si="13"/>
        <v>95910.949999999895</v>
      </c>
      <c r="V52" s="11">
        <f t="shared" si="14"/>
        <v>0.34134149830528498</v>
      </c>
      <c r="X52" s="3">
        <v>41855</v>
      </c>
      <c r="Z52">
        <v>11946.8</v>
      </c>
      <c r="AB52">
        <v>11946.8</v>
      </c>
      <c r="AE52">
        <v>11946.8</v>
      </c>
      <c r="AG52">
        <v>102793</v>
      </c>
      <c r="AI52">
        <v>102793</v>
      </c>
      <c r="AK52">
        <v>49035.96</v>
      </c>
      <c r="AM52">
        <v>49035.96</v>
      </c>
      <c r="AO52">
        <v>21699.11</v>
      </c>
      <c r="AQ52">
        <v>21699.11</v>
      </c>
      <c r="AV52">
        <v>11543.37</v>
      </c>
      <c r="AX52">
        <v>11543.37</v>
      </c>
      <c r="AY52">
        <v>185071.44</v>
      </c>
      <c r="BA52">
        <v>9932.07</v>
      </c>
      <c r="BC52">
        <v>9932.07</v>
      </c>
      <c r="BG52">
        <v>9932.07</v>
      </c>
      <c r="BW52">
        <v>280982.3899999999</v>
      </c>
      <c r="BX52" s="1"/>
      <c r="BY52" s="1"/>
    </row>
    <row r="53" spans="4:77">
      <c r="D53" s="3">
        <v>41862</v>
      </c>
      <c r="E53" s="11">
        <f t="shared" si="3"/>
        <v>309578.40000000002</v>
      </c>
      <c r="F53" s="4">
        <f t="shared" si="4"/>
        <v>204915.1</v>
      </c>
      <c r="G53" s="4">
        <f t="shared" si="5"/>
        <v>0.66191665826814783</v>
      </c>
      <c r="H53" s="4">
        <f t="shared" si="0"/>
        <v>0</v>
      </c>
      <c r="I53" s="4">
        <f t="shared" si="1"/>
        <v>0</v>
      </c>
      <c r="J53" s="4">
        <f t="shared" si="6"/>
        <v>0</v>
      </c>
      <c r="K53" s="4">
        <f t="shared" si="7"/>
        <v>0</v>
      </c>
      <c r="L53" s="4">
        <f t="shared" si="8"/>
        <v>0</v>
      </c>
      <c r="M53" s="4">
        <f t="shared" si="9"/>
        <v>0</v>
      </c>
      <c r="N53" s="4">
        <f t="shared" si="10"/>
        <v>0</v>
      </c>
      <c r="O53" s="4">
        <f t="shared" si="11"/>
        <v>0</v>
      </c>
      <c r="P53" s="4">
        <f t="shared" si="12"/>
        <v>204915.1</v>
      </c>
      <c r="Q53" s="4">
        <f t="shared" si="18"/>
        <v>0.66191665826814783</v>
      </c>
      <c r="R53" s="4">
        <v>47</v>
      </c>
      <c r="S53" s="4">
        <f t="shared" si="19"/>
        <v>204741.21344464802</v>
      </c>
      <c r="T53" s="4">
        <f t="shared" si="17"/>
        <v>0.66135496999999999</v>
      </c>
      <c r="U53" s="11">
        <f t="shared" si="13"/>
        <v>104663.30000000002</v>
      </c>
      <c r="V53" s="11">
        <f t="shared" si="14"/>
        <v>0.33808334173185212</v>
      </c>
      <c r="X53" s="3">
        <v>41862</v>
      </c>
      <c r="Z53">
        <v>13328.45</v>
      </c>
      <c r="AB53">
        <v>13328.45</v>
      </c>
      <c r="AE53">
        <v>13328.45</v>
      </c>
      <c r="AG53">
        <v>116208.91</v>
      </c>
      <c r="AI53">
        <v>116208.91</v>
      </c>
      <c r="AK53">
        <v>52655.61</v>
      </c>
      <c r="AM53">
        <v>52655.61</v>
      </c>
      <c r="AO53">
        <v>23611.03</v>
      </c>
      <c r="AQ53">
        <v>23611.03</v>
      </c>
      <c r="AV53">
        <v>12439.55</v>
      </c>
      <c r="AX53">
        <v>12439.55</v>
      </c>
      <c r="AY53">
        <v>204915.1</v>
      </c>
      <c r="BA53">
        <v>10972.13</v>
      </c>
      <c r="BC53">
        <v>10972.13</v>
      </c>
      <c r="BG53">
        <v>10972.13</v>
      </c>
      <c r="BW53">
        <v>309578.40000000002</v>
      </c>
      <c r="BX53" s="1"/>
      <c r="BY53" s="1"/>
    </row>
    <row r="54" spans="4:77">
      <c r="D54" s="3">
        <v>41869</v>
      </c>
      <c r="E54" s="11">
        <f t="shared" si="3"/>
        <v>299126.45999999996</v>
      </c>
      <c r="F54" s="4">
        <f t="shared" si="4"/>
        <v>196416.22</v>
      </c>
      <c r="G54" s="4">
        <f t="shared" si="5"/>
        <v>0.6566327164771717</v>
      </c>
      <c r="H54" s="4">
        <f t="shared" si="0"/>
        <v>0</v>
      </c>
      <c r="I54" s="4">
        <f t="shared" si="1"/>
        <v>0</v>
      </c>
      <c r="J54" s="4">
        <f t="shared" si="6"/>
        <v>0</v>
      </c>
      <c r="K54" s="4">
        <f t="shared" si="7"/>
        <v>0</v>
      </c>
      <c r="L54" s="4">
        <f t="shared" si="8"/>
        <v>0</v>
      </c>
      <c r="M54" s="4">
        <f t="shared" si="9"/>
        <v>0</v>
      </c>
      <c r="N54" s="4">
        <f t="shared" si="10"/>
        <v>1.42</v>
      </c>
      <c r="O54" s="4">
        <f t="shared" si="11"/>
        <v>4.7471561024725134E-6</v>
      </c>
      <c r="P54" s="4">
        <f t="shared" si="12"/>
        <v>196417.64</v>
      </c>
      <c r="Q54" s="4">
        <f t="shared" si="18"/>
        <v>0.65663746363327413</v>
      </c>
      <c r="R54" s="4">
        <v>48</v>
      </c>
      <c r="S54" s="4">
        <f t="shared" si="19"/>
        <v>197913.57632218077</v>
      </c>
      <c r="T54" s="4">
        <f t="shared" si="17"/>
        <v>0.66163848000000003</v>
      </c>
      <c r="U54" s="11">
        <f t="shared" si="13"/>
        <v>102708.81999999995</v>
      </c>
      <c r="V54" s="11">
        <f t="shared" si="14"/>
        <v>0.34336253636672581</v>
      </c>
      <c r="X54" s="3">
        <v>41869</v>
      </c>
      <c r="Z54">
        <v>13057.01</v>
      </c>
      <c r="AB54">
        <v>13057.01</v>
      </c>
      <c r="AE54">
        <v>13057.01</v>
      </c>
      <c r="AG54">
        <v>111826.92</v>
      </c>
      <c r="AI54">
        <v>111826.92</v>
      </c>
      <c r="AK54">
        <v>50891.58</v>
      </c>
      <c r="AM54">
        <v>50891.58</v>
      </c>
      <c r="AO54">
        <v>21701.29</v>
      </c>
      <c r="AQ54">
        <v>21701.29</v>
      </c>
      <c r="AV54">
        <v>11996.43</v>
      </c>
      <c r="AX54">
        <v>11996.43</v>
      </c>
      <c r="AY54">
        <v>196416.22</v>
      </c>
      <c r="BA54">
        <v>10776.07</v>
      </c>
      <c r="BC54">
        <v>10776.07</v>
      </c>
      <c r="BG54">
        <v>10776.07</v>
      </c>
      <c r="BJ54">
        <v>1.42</v>
      </c>
      <c r="BL54">
        <v>1.42</v>
      </c>
      <c r="BM54">
        <v>1.42</v>
      </c>
      <c r="BW54">
        <v>299126.45999999996</v>
      </c>
      <c r="BX54" s="1"/>
      <c r="BY54" s="1"/>
    </row>
    <row r="55" spans="4:77">
      <c r="D55" s="3">
        <v>41876</v>
      </c>
      <c r="E55" s="11">
        <f t="shared" si="3"/>
        <v>332780.33</v>
      </c>
      <c r="F55" s="4">
        <f t="shared" si="4"/>
        <v>219563.87000000002</v>
      </c>
      <c r="G55" s="4">
        <f t="shared" si="5"/>
        <v>0.65978620190682546</v>
      </c>
      <c r="H55" s="4">
        <f t="shared" si="0"/>
        <v>0</v>
      </c>
      <c r="I55" s="4">
        <f t="shared" si="1"/>
        <v>0</v>
      </c>
      <c r="J55" s="4">
        <f t="shared" si="6"/>
        <v>0</v>
      </c>
      <c r="K55" s="4">
        <f t="shared" si="7"/>
        <v>0</v>
      </c>
      <c r="L55" s="4">
        <f t="shared" si="8"/>
        <v>0</v>
      </c>
      <c r="M55" s="4">
        <f t="shared" si="9"/>
        <v>0</v>
      </c>
      <c r="N55" s="4">
        <f t="shared" si="10"/>
        <v>0</v>
      </c>
      <c r="O55" s="4">
        <f t="shared" si="11"/>
        <v>0</v>
      </c>
      <c r="P55" s="4">
        <f t="shared" si="12"/>
        <v>219563.87000000002</v>
      </c>
      <c r="Q55" s="4">
        <f t="shared" si="18"/>
        <v>0.65978620190682546</v>
      </c>
      <c r="R55" s="4">
        <v>49</v>
      </c>
      <c r="S55" s="4">
        <f t="shared" si="19"/>
        <v>220274.6182664567</v>
      </c>
      <c r="T55" s="4">
        <f t="shared" si="17"/>
        <v>0.66192198999999996</v>
      </c>
      <c r="U55" s="11">
        <f t="shared" si="13"/>
        <v>113216.45999999999</v>
      </c>
      <c r="V55" s="11">
        <f t="shared" si="14"/>
        <v>0.34021379809317454</v>
      </c>
      <c r="X55" s="3">
        <v>41876</v>
      </c>
      <c r="Z55">
        <v>14466.34</v>
      </c>
      <c r="AB55">
        <v>14466.34</v>
      </c>
      <c r="AE55">
        <v>14466.34</v>
      </c>
      <c r="AG55">
        <v>129433.27</v>
      </c>
      <c r="AI55">
        <v>129433.27</v>
      </c>
      <c r="AK55">
        <v>53952.39</v>
      </c>
      <c r="AM55">
        <v>53952.39</v>
      </c>
      <c r="AO55">
        <v>23532.54</v>
      </c>
      <c r="AQ55">
        <v>23532.54</v>
      </c>
      <c r="AV55">
        <v>12645.67</v>
      </c>
      <c r="AX55">
        <v>12645.67</v>
      </c>
      <c r="AY55">
        <v>219563.87000000002</v>
      </c>
      <c r="BA55">
        <v>11728.69</v>
      </c>
      <c r="BC55">
        <v>11728.69</v>
      </c>
      <c r="BG55">
        <v>11728.69</v>
      </c>
      <c r="BW55">
        <v>332780.33</v>
      </c>
      <c r="BX55" s="1"/>
      <c r="BY55" s="1"/>
    </row>
    <row r="56" spans="4:77">
      <c r="D56" s="3">
        <v>41883</v>
      </c>
      <c r="E56" s="11">
        <f t="shared" si="3"/>
        <v>238226.79999999996</v>
      </c>
      <c r="F56" s="4">
        <f t="shared" si="4"/>
        <v>155319.33000000002</v>
      </c>
      <c r="G56" s="4">
        <f t="shared" si="5"/>
        <v>0.65198092741874569</v>
      </c>
      <c r="H56" s="4">
        <f t="shared" si="0"/>
        <v>0</v>
      </c>
      <c r="I56" s="4">
        <f t="shared" si="1"/>
        <v>0</v>
      </c>
      <c r="J56" s="4">
        <f t="shared" si="6"/>
        <v>0</v>
      </c>
      <c r="K56" s="4">
        <f t="shared" si="7"/>
        <v>0</v>
      </c>
      <c r="L56" s="4">
        <f t="shared" si="8"/>
        <v>0</v>
      </c>
      <c r="M56" s="4">
        <f t="shared" si="9"/>
        <v>0</v>
      </c>
      <c r="N56" s="4">
        <f t="shared" si="10"/>
        <v>0</v>
      </c>
      <c r="O56" s="4">
        <f t="shared" si="11"/>
        <v>0</v>
      </c>
      <c r="P56" s="4">
        <f t="shared" si="12"/>
        <v>155319.33000000002</v>
      </c>
      <c r="Q56" s="4">
        <f t="shared" si="18"/>
        <v>0.65198092741874569</v>
      </c>
      <c r="R56" s="4">
        <v>50</v>
      </c>
      <c r="S56" s="4">
        <f t="shared" si="19"/>
        <v>157755.09720739999</v>
      </c>
      <c r="T56" s="4">
        <f t="shared" si="17"/>
        <v>0.6622055</v>
      </c>
      <c r="U56" s="11">
        <f t="shared" si="13"/>
        <v>82907.469999999943</v>
      </c>
      <c r="V56" s="11">
        <f t="shared" si="14"/>
        <v>0.34801907258125431</v>
      </c>
      <c r="X56" s="3">
        <v>41883</v>
      </c>
      <c r="Z56">
        <v>10660.89</v>
      </c>
      <c r="AB56">
        <v>10660.89</v>
      </c>
      <c r="AE56">
        <v>10660.89</v>
      </c>
      <c r="AG56">
        <v>83868.820000000007</v>
      </c>
      <c r="AI56">
        <v>83868.820000000007</v>
      </c>
      <c r="AK56">
        <v>40665.47</v>
      </c>
      <c r="AM56">
        <v>40665.47</v>
      </c>
      <c r="AO56">
        <v>20758.48</v>
      </c>
      <c r="AQ56">
        <v>20758.48</v>
      </c>
      <c r="AV56">
        <v>10026.56</v>
      </c>
      <c r="AX56">
        <v>10026.56</v>
      </c>
      <c r="AY56">
        <v>155319.33000000002</v>
      </c>
      <c r="BA56">
        <v>8821.94</v>
      </c>
      <c r="BC56">
        <v>8821.94</v>
      </c>
      <c r="BG56">
        <v>8821.94</v>
      </c>
      <c r="BW56">
        <v>238226.79999999996</v>
      </c>
      <c r="BX56" s="1"/>
      <c r="BY56" s="1"/>
    </row>
    <row r="57" spans="4:77">
      <c r="D57" s="3">
        <v>41890</v>
      </c>
      <c r="E57" s="11">
        <f t="shared" si="3"/>
        <v>296817.18000000005</v>
      </c>
      <c r="F57" s="4">
        <f t="shared" si="4"/>
        <v>195607.34000000003</v>
      </c>
      <c r="G57" s="4">
        <f t="shared" si="5"/>
        <v>0.65901623349430105</v>
      </c>
      <c r="H57" s="4">
        <f t="shared" si="0"/>
        <v>0</v>
      </c>
      <c r="I57" s="4">
        <f t="shared" si="1"/>
        <v>0</v>
      </c>
      <c r="J57" s="4">
        <f t="shared" si="6"/>
        <v>0</v>
      </c>
      <c r="K57" s="4">
        <f t="shared" si="7"/>
        <v>0</v>
      </c>
      <c r="L57" s="4">
        <f t="shared" si="8"/>
        <v>0</v>
      </c>
      <c r="M57" s="4">
        <f t="shared" si="9"/>
        <v>0</v>
      </c>
      <c r="N57" s="4">
        <f t="shared" si="10"/>
        <v>0</v>
      </c>
      <c r="O57" s="4">
        <f t="shared" si="11"/>
        <v>0</v>
      </c>
      <c r="P57" s="4">
        <f t="shared" si="12"/>
        <v>195607.34000000003</v>
      </c>
      <c r="Q57" s="4">
        <f t="shared" si="18"/>
        <v>0.65901623349430105</v>
      </c>
      <c r="R57" s="4">
        <v>51</v>
      </c>
      <c r="S57" s="4">
        <f t="shared" si="19"/>
        <v>196638.11972919185</v>
      </c>
      <c r="T57" s="4">
        <f t="shared" si="17"/>
        <v>0.66248901000000004</v>
      </c>
      <c r="U57" s="11">
        <f t="shared" si="13"/>
        <v>101209.84000000003</v>
      </c>
      <c r="V57" s="11">
        <f t="shared" si="14"/>
        <v>0.34098376650569895</v>
      </c>
      <c r="X57" s="3">
        <v>41890</v>
      </c>
      <c r="Z57">
        <v>13152.12</v>
      </c>
      <c r="AB57">
        <v>13152.12</v>
      </c>
      <c r="AE57">
        <v>13152.12</v>
      </c>
      <c r="AG57">
        <v>103712.95</v>
      </c>
      <c r="AI57">
        <v>103712.95</v>
      </c>
      <c r="AK57">
        <v>55957.31</v>
      </c>
      <c r="AM57">
        <v>55957.31</v>
      </c>
      <c r="AO57">
        <v>23682.32</v>
      </c>
      <c r="AQ57">
        <v>23682.32</v>
      </c>
      <c r="AV57">
        <v>12254.76</v>
      </c>
      <c r="AX57">
        <v>12254.76</v>
      </c>
      <c r="AY57">
        <v>195607.34000000003</v>
      </c>
      <c r="BA57">
        <v>10799.69</v>
      </c>
      <c r="BC57">
        <v>10799.69</v>
      </c>
      <c r="BG57">
        <v>10799.69</v>
      </c>
      <c r="BW57">
        <v>296817.18000000005</v>
      </c>
      <c r="BX57" s="1"/>
      <c r="BY57" s="1"/>
    </row>
    <row r="58" spans="4:77">
      <c r="D58" s="3">
        <v>41897</v>
      </c>
      <c r="E58" s="11">
        <f t="shared" si="3"/>
        <v>289010.19000000006</v>
      </c>
      <c r="F58" s="4">
        <f t="shared" si="4"/>
        <v>189774.03000000003</v>
      </c>
      <c r="G58" s="4">
        <f t="shared" si="5"/>
        <v>0.65663439064207385</v>
      </c>
      <c r="H58" s="4">
        <f t="shared" si="0"/>
        <v>0</v>
      </c>
      <c r="I58" s="4">
        <f t="shared" si="1"/>
        <v>0</v>
      </c>
      <c r="J58" s="4">
        <f t="shared" si="6"/>
        <v>0</v>
      </c>
      <c r="K58" s="4">
        <f t="shared" si="7"/>
        <v>0</v>
      </c>
      <c r="L58" s="4">
        <f t="shared" si="8"/>
        <v>0</v>
      </c>
      <c r="M58" s="4">
        <f t="shared" si="9"/>
        <v>0</v>
      </c>
      <c r="N58" s="4">
        <f t="shared" si="10"/>
        <v>0</v>
      </c>
      <c r="O58" s="4">
        <f t="shared" si="11"/>
        <v>0</v>
      </c>
      <c r="P58" s="4">
        <f t="shared" si="12"/>
        <v>189774.03000000003</v>
      </c>
      <c r="Q58" s="4">
        <f t="shared" si="18"/>
        <v>0.65663439064207385</v>
      </c>
      <c r="R58" s="4">
        <v>52</v>
      </c>
      <c r="S58" s="4">
        <f t="shared" si="19"/>
        <v>191548.01193197884</v>
      </c>
      <c r="T58" s="4">
        <f t="shared" si="17"/>
        <v>0.66277251999999998</v>
      </c>
      <c r="U58" s="11">
        <f t="shared" si="13"/>
        <v>99236.160000000033</v>
      </c>
      <c r="V58" s="11">
        <f t="shared" si="14"/>
        <v>0.34336560935792615</v>
      </c>
      <c r="X58" s="3">
        <v>41897</v>
      </c>
      <c r="Z58">
        <v>12687.55</v>
      </c>
      <c r="AB58">
        <v>12687.55</v>
      </c>
      <c r="AE58">
        <v>12687.55</v>
      </c>
      <c r="AG58">
        <v>100600.62</v>
      </c>
      <c r="AI58">
        <v>100600.62</v>
      </c>
      <c r="AK58">
        <v>55450.2</v>
      </c>
      <c r="AM58">
        <v>55450.2</v>
      </c>
      <c r="AO58">
        <v>22160.48</v>
      </c>
      <c r="AQ58">
        <v>22160.48</v>
      </c>
      <c r="AV58">
        <v>11562.73</v>
      </c>
      <c r="AX58">
        <v>11562.73</v>
      </c>
      <c r="AY58">
        <v>189774.03000000003</v>
      </c>
      <c r="BA58">
        <v>10270.040000000001</v>
      </c>
      <c r="BC58">
        <v>10270.040000000001</v>
      </c>
      <c r="BG58">
        <v>10270.040000000001</v>
      </c>
      <c r="BW58">
        <v>289010.19000000006</v>
      </c>
      <c r="BX58" s="1"/>
      <c r="BY58" s="1"/>
    </row>
    <row r="59" spans="4:77">
      <c r="D59" s="3">
        <v>41904</v>
      </c>
      <c r="E59" s="11">
        <f t="shared" si="3"/>
        <v>273209.23</v>
      </c>
      <c r="F59" s="4">
        <f t="shared" si="4"/>
        <v>177516.56</v>
      </c>
      <c r="G59" s="4">
        <f t="shared" si="5"/>
        <v>0.64974583764977489</v>
      </c>
      <c r="H59" s="4">
        <f t="shared" si="0"/>
        <v>0</v>
      </c>
      <c r="I59" s="4">
        <f t="shared" si="1"/>
        <v>0</v>
      </c>
      <c r="J59" s="4">
        <f t="shared" si="6"/>
        <v>0</v>
      </c>
      <c r="K59" s="4">
        <f t="shared" si="7"/>
        <v>0</v>
      </c>
      <c r="L59" s="4">
        <f t="shared" si="8"/>
        <v>0</v>
      </c>
      <c r="M59" s="4">
        <f t="shared" si="9"/>
        <v>0</v>
      </c>
      <c r="N59" s="4">
        <f t="shared" si="10"/>
        <v>0</v>
      </c>
      <c r="O59" s="4">
        <f t="shared" si="11"/>
        <v>0</v>
      </c>
      <c r="P59" s="4">
        <f t="shared" si="12"/>
        <v>177516.56</v>
      </c>
      <c r="Q59" s="4">
        <f t="shared" si="18"/>
        <v>0.64974583764977489</v>
      </c>
      <c r="R59" s="4">
        <v>53</v>
      </c>
      <c r="S59" s="4">
        <f t="shared" si="19"/>
        <v>181153.02740315688</v>
      </c>
      <c r="T59" s="4">
        <f t="shared" si="17"/>
        <v>0.66305603000000002</v>
      </c>
      <c r="U59" s="11">
        <f t="shared" si="13"/>
        <v>95692.669999999984</v>
      </c>
      <c r="V59" s="11">
        <f t="shared" si="14"/>
        <v>0.35025416235022511</v>
      </c>
      <c r="X59" s="3">
        <v>41904</v>
      </c>
      <c r="Z59">
        <v>12232.77</v>
      </c>
      <c r="AB59">
        <v>12232.77</v>
      </c>
      <c r="AE59">
        <v>12232.77</v>
      </c>
      <c r="AG59">
        <v>93627.28</v>
      </c>
      <c r="AI59">
        <v>93627.28</v>
      </c>
      <c r="AK59">
        <v>49291.01</v>
      </c>
      <c r="AM59">
        <v>49291.01</v>
      </c>
      <c r="AO59">
        <v>22849.89</v>
      </c>
      <c r="AQ59">
        <v>22849.89</v>
      </c>
      <c r="AV59">
        <v>11748.38</v>
      </c>
      <c r="AX59">
        <v>11748.38</v>
      </c>
      <c r="AY59">
        <v>177516.56</v>
      </c>
      <c r="BA59">
        <v>10033.83</v>
      </c>
      <c r="BC59">
        <v>10033.83</v>
      </c>
      <c r="BG59">
        <v>10033.83</v>
      </c>
      <c r="BW59">
        <v>273209.23</v>
      </c>
      <c r="BX59" s="1"/>
      <c r="BY59" s="1"/>
    </row>
    <row r="60" spans="4:77">
      <c r="D60" s="3">
        <v>41911</v>
      </c>
      <c r="E60" s="11">
        <f t="shared" si="3"/>
        <v>263419.15000000002</v>
      </c>
      <c r="F60" s="4">
        <f t="shared" si="4"/>
        <v>170589.3</v>
      </c>
      <c r="G60" s="4">
        <f t="shared" si="5"/>
        <v>0.64759642569646125</v>
      </c>
      <c r="H60" s="4">
        <f t="shared" si="0"/>
        <v>0</v>
      </c>
      <c r="I60" s="4">
        <f t="shared" si="1"/>
        <v>0</v>
      </c>
      <c r="J60" s="4">
        <f t="shared" si="6"/>
        <v>0</v>
      </c>
      <c r="K60" s="4">
        <f t="shared" si="7"/>
        <v>0</v>
      </c>
      <c r="L60" s="4">
        <f t="shared" si="8"/>
        <v>0</v>
      </c>
      <c r="M60" s="4">
        <f t="shared" si="9"/>
        <v>0</v>
      </c>
      <c r="N60" s="4">
        <f t="shared" si="10"/>
        <v>0</v>
      </c>
      <c r="O60" s="4">
        <f t="shared" si="11"/>
        <v>0</v>
      </c>
      <c r="P60" s="4">
        <f t="shared" si="12"/>
        <v>170589.3</v>
      </c>
      <c r="Q60" s="4">
        <f t="shared" si="18"/>
        <v>0.64759642569646125</v>
      </c>
      <c r="R60" s="4">
        <v>54</v>
      </c>
      <c r="S60" s="4">
        <f t="shared" si="19"/>
        <v>174736.33778819101</v>
      </c>
      <c r="T60" s="4">
        <f t="shared" si="17"/>
        <v>0.66333953999999995</v>
      </c>
      <c r="U60" s="11">
        <f t="shared" si="13"/>
        <v>92829.850000000035</v>
      </c>
      <c r="V60" s="11">
        <f t="shared" si="14"/>
        <v>0.3524035743035388</v>
      </c>
      <c r="X60" s="3">
        <v>41911</v>
      </c>
      <c r="Z60">
        <v>11651.62</v>
      </c>
      <c r="AB60">
        <v>11651.62</v>
      </c>
      <c r="AE60">
        <v>11651.62</v>
      </c>
      <c r="AG60">
        <v>91790.09</v>
      </c>
      <c r="AI60">
        <v>91790.09</v>
      </c>
      <c r="AK60">
        <v>46512.4</v>
      </c>
      <c r="AM60">
        <v>46512.4</v>
      </c>
      <c r="AO60">
        <v>21136.11</v>
      </c>
      <c r="AQ60">
        <v>21136.11</v>
      </c>
      <c r="AV60">
        <v>11150.7</v>
      </c>
      <c r="AX60">
        <v>11150.7</v>
      </c>
      <c r="AY60">
        <v>170589.3</v>
      </c>
      <c r="BA60">
        <v>9767.83</v>
      </c>
      <c r="BC60">
        <v>9767.83</v>
      </c>
      <c r="BG60">
        <v>9767.83</v>
      </c>
      <c r="BW60">
        <v>263419.15000000002</v>
      </c>
      <c r="BX60" s="1"/>
      <c r="BY60" s="1"/>
    </row>
    <row r="61" spans="4:77">
      <c r="D61" s="3">
        <v>41918</v>
      </c>
      <c r="E61" s="11">
        <f t="shared" si="3"/>
        <v>282862.96999999997</v>
      </c>
      <c r="F61" s="4">
        <f t="shared" si="4"/>
        <v>185065.74999999997</v>
      </c>
      <c r="G61" s="4">
        <f t="shared" si="5"/>
        <v>0.65425937513135779</v>
      </c>
      <c r="H61" s="4">
        <f t="shared" si="0"/>
        <v>0</v>
      </c>
      <c r="I61" s="4">
        <f t="shared" si="1"/>
        <v>0</v>
      </c>
      <c r="J61" s="4">
        <f t="shared" si="6"/>
        <v>0</v>
      </c>
      <c r="K61" s="4">
        <f t="shared" si="7"/>
        <v>0</v>
      </c>
      <c r="L61" s="4">
        <f t="shared" si="8"/>
        <v>0</v>
      </c>
      <c r="M61" s="4">
        <f t="shared" si="9"/>
        <v>0</v>
      </c>
      <c r="N61" s="4">
        <f t="shared" si="10"/>
        <v>0</v>
      </c>
      <c r="O61" s="4">
        <f t="shared" si="11"/>
        <v>0</v>
      </c>
      <c r="P61" s="4">
        <f t="shared" si="12"/>
        <v>185065.74999999997</v>
      </c>
      <c r="Q61" s="4">
        <f t="shared" si="18"/>
        <v>0.65425937513135779</v>
      </c>
      <c r="R61" s="4">
        <v>55</v>
      </c>
      <c r="S61" s="4">
        <f t="shared" si="19"/>
        <v>187714.38688345847</v>
      </c>
      <c r="T61" s="4">
        <f t="shared" si="17"/>
        <v>0.66362304999999999</v>
      </c>
      <c r="U61" s="11">
        <f t="shared" si="13"/>
        <v>97797.22</v>
      </c>
      <c r="V61" s="11">
        <f t="shared" si="14"/>
        <v>0.34574062486864227</v>
      </c>
      <c r="X61" s="3">
        <v>41918</v>
      </c>
      <c r="Z61">
        <v>12674.44</v>
      </c>
      <c r="AB61">
        <v>12674.44</v>
      </c>
      <c r="AE61">
        <v>12674.44</v>
      </c>
      <c r="AG61">
        <v>102348.17</v>
      </c>
      <c r="AI61">
        <v>102348.17</v>
      </c>
      <c r="AK61">
        <v>48753.81</v>
      </c>
      <c r="AM61">
        <v>48753.81</v>
      </c>
      <c r="AO61">
        <v>21953.93</v>
      </c>
      <c r="AQ61">
        <v>21953.93</v>
      </c>
      <c r="AV61">
        <v>12009.84</v>
      </c>
      <c r="AX61">
        <v>12009.84</v>
      </c>
      <c r="AY61">
        <v>185065.74999999997</v>
      </c>
      <c r="BA61">
        <v>10491.81</v>
      </c>
      <c r="BC61">
        <v>10491.81</v>
      </c>
      <c r="BG61">
        <v>10491.81</v>
      </c>
      <c r="BW61">
        <v>282862.96999999997</v>
      </c>
      <c r="BX61" s="1"/>
      <c r="BY61" s="1"/>
    </row>
    <row r="62" spans="4:77">
      <c r="D62" s="3">
        <v>41925</v>
      </c>
      <c r="E62" s="11">
        <f t="shared" si="3"/>
        <v>284832.40000000002</v>
      </c>
      <c r="F62" s="4">
        <f t="shared" si="4"/>
        <v>186747.28</v>
      </c>
      <c r="G62" s="4">
        <f t="shared" si="5"/>
        <v>0.65563917588027198</v>
      </c>
      <c r="H62" s="4">
        <f t="shared" si="0"/>
        <v>0</v>
      </c>
      <c r="I62" s="4">
        <f t="shared" si="1"/>
        <v>0</v>
      </c>
      <c r="J62" s="4">
        <f t="shared" si="6"/>
        <v>0</v>
      </c>
      <c r="K62" s="4">
        <f t="shared" si="7"/>
        <v>0</v>
      </c>
      <c r="L62" s="4">
        <f t="shared" si="8"/>
        <v>0</v>
      </c>
      <c r="M62" s="4">
        <f t="shared" si="9"/>
        <v>0</v>
      </c>
      <c r="N62" s="4">
        <f t="shared" si="10"/>
        <v>0</v>
      </c>
      <c r="O62" s="4">
        <f t="shared" si="11"/>
        <v>0</v>
      </c>
      <c r="P62" s="4">
        <f t="shared" si="12"/>
        <v>186747.28</v>
      </c>
      <c r="Q62" s="4">
        <f t="shared" si="18"/>
        <v>0.65563917588027198</v>
      </c>
      <c r="R62" s="4">
        <v>56</v>
      </c>
      <c r="S62" s="4">
        <f t="shared" si="19"/>
        <v>189102.09886054404</v>
      </c>
      <c r="T62" s="4">
        <f t="shared" si="17"/>
        <v>0.66390656000000003</v>
      </c>
      <c r="U62" s="11">
        <f t="shared" si="13"/>
        <v>98085.120000000024</v>
      </c>
      <c r="V62" s="11">
        <f t="shared" si="14"/>
        <v>0.34436082411972802</v>
      </c>
      <c r="X62" s="3">
        <v>41925</v>
      </c>
      <c r="Z62">
        <v>12853.61</v>
      </c>
      <c r="AB62">
        <v>12853.61</v>
      </c>
      <c r="AE62">
        <v>12853.61</v>
      </c>
      <c r="AG62">
        <v>104134.15</v>
      </c>
      <c r="AI62">
        <v>104134.15</v>
      </c>
      <c r="AK62">
        <v>48402.73</v>
      </c>
      <c r="AM62">
        <v>48402.73</v>
      </c>
      <c r="AO62">
        <v>22314.06</v>
      </c>
      <c r="AQ62">
        <v>22314.06</v>
      </c>
      <c r="AV62">
        <v>11896.34</v>
      </c>
      <c r="AX62">
        <v>11896.34</v>
      </c>
      <c r="AY62">
        <v>186747.28</v>
      </c>
      <c r="BA62">
        <v>10588.32</v>
      </c>
      <c r="BC62">
        <v>10588.32</v>
      </c>
      <c r="BG62">
        <v>10588.32</v>
      </c>
      <c r="BW62">
        <v>284832.40000000002</v>
      </c>
      <c r="BX62" s="1"/>
      <c r="BY62" s="1"/>
    </row>
    <row r="63" spans="4:77">
      <c r="D63" s="3">
        <v>41932</v>
      </c>
      <c r="E63" s="11">
        <f t="shared" si="3"/>
        <v>282382.51</v>
      </c>
      <c r="F63" s="4">
        <f t="shared" si="4"/>
        <v>184190.57</v>
      </c>
      <c r="G63" s="4">
        <f t="shared" si="5"/>
        <v>0.65227329412150914</v>
      </c>
      <c r="H63" s="4">
        <f t="shared" si="0"/>
        <v>0</v>
      </c>
      <c r="I63" s="4">
        <f t="shared" si="1"/>
        <v>0</v>
      </c>
      <c r="J63" s="4">
        <f t="shared" si="6"/>
        <v>0</v>
      </c>
      <c r="K63" s="4">
        <f t="shared" si="7"/>
        <v>0</v>
      </c>
      <c r="L63" s="4">
        <f t="shared" si="8"/>
        <v>0</v>
      </c>
      <c r="M63" s="4">
        <f t="shared" si="9"/>
        <v>0</v>
      </c>
      <c r="N63" s="4">
        <f t="shared" si="10"/>
        <v>0</v>
      </c>
      <c r="O63" s="4">
        <f t="shared" si="11"/>
        <v>0</v>
      </c>
      <c r="P63" s="4">
        <f t="shared" si="12"/>
        <v>184190.57</v>
      </c>
      <c r="Q63" s="4">
        <f t="shared" si="18"/>
        <v>0.65227329412150914</v>
      </c>
      <c r="R63" s="4">
        <v>57</v>
      </c>
      <c r="S63" s="4">
        <f t="shared" si="19"/>
        <v>187555.65908367571</v>
      </c>
      <c r="T63" s="4">
        <f t="shared" si="17"/>
        <v>0.66419006999999997</v>
      </c>
      <c r="U63" s="11">
        <f t="shared" si="13"/>
        <v>98191.94</v>
      </c>
      <c r="V63" s="11">
        <f t="shared" si="14"/>
        <v>0.34772670587849086</v>
      </c>
      <c r="X63" s="3">
        <v>41932</v>
      </c>
      <c r="Z63">
        <v>12447.85</v>
      </c>
      <c r="AB63">
        <v>12447.85</v>
      </c>
      <c r="AE63">
        <v>12447.85</v>
      </c>
      <c r="AG63">
        <v>98382.17</v>
      </c>
      <c r="AI63">
        <v>98382.17</v>
      </c>
      <c r="AK63">
        <v>53078.71</v>
      </c>
      <c r="AM63">
        <v>53078.71</v>
      </c>
      <c r="AO63">
        <v>21250.94</v>
      </c>
      <c r="AQ63">
        <v>21250.94</v>
      </c>
      <c r="AV63">
        <v>11478.75</v>
      </c>
      <c r="AX63">
        <v>11478.75</v>
      </c>
      <c r="AY63">
        <v>184190.57</v>
      </c>
      <c r="BA63">
        <v>10332.91</v>
      </c>
      <c r="BC63">
        <v>10332.91</v>
      </c>
      <c r="BG63">
        <v>10332.91</v>
      </c>
      <c r="BW63">
        <v>282382.51</v>
      </c>
      <c r="BX63" s="1"/>
      <c r="BY63" s="1"/>
    </row>
    <row r="64" spans="4:77">
      <c r="D64" s="3">
        <v>41939</v>
      </c>
      <c r="E64" s="11">
        <f t="shared" si="3"/>
        <v>275354.9800000001</v>
      </c>
      <c r="F64" s="4">
        <f t="shared" si="4"/>
        <v>178306.46</v>
      </c>
      <c r="G64" s="4">
        <f t="shared" si="5"/>
        <v>0.64755124457890656</v>
      </c>
      <c r="H64" s="4">
        <f t="shared" si="0"/>
        <v>0</v>
      </c>
      <c r="I64" s="4">
        <f t="shared" si="1"/>
        <v>0</v>
      </c>
      <c r="J64" s="4">
        <f t="shared" si="6"/>
        <v>0</v>
      </c>
      <c r="K64" s="4">
        <f t="shared" si="7"/>
        <v>0</v>
      </c>
      <c r="L64" s="4">
        <f t="shared" si="8"/>
        <v>0</v>
      </c>
      <c r="M64" s="4">
        <f t="shared" si="9"/>
        <v>0</v>
      </c>
      <c r="N64" s="4">
        <f t="shared" si="10"/>
        <v>0</v>
      </c>
      <c r="O64" s="4">
        <f t="shared" si="11"/>
        <v>0</v>
      </c>
      <c r="P64" s="4">
        <f t="shared" si="12"/>
        <v>178306.46</v>
      </c>
      <c r="Q64" s="4">
        <f t="shared" si="18"/>
        <v>0.64755124457890656</v>
      </c>
      <c r="R64" s="4">
        <v>58</v>
      </c>
      <c r="S64" s="4">
        <f t="shared" si="19"/>
        <v>182966.10933142848</v>
      </c>
      <c r="T64" s="4">
        <f t="shared" si="17"/>
        <v>0.66447358000000001</v>
      </c>
      <c r="U64" s="11">
        <f t="shared" si="13"/>
        <v>97048.520000000106</v>
      </c>
      <c r="V64" s="11">
        <f t="shared" si="14"/>
        <v>0.35244875542109344</v>
      </c>
      <c r="X64" s="3">
        <v>41939</v>
      </c>
      <c r="Z64">
        <v>12047.23</v>
      </c>
      <c r="AB64">
        <v>12047.23</v>
      </c>
      <c r="AE64">
        <v>12047.23</v>
      </c>
      <c r="AG64">
        <v>97715.51</v>
      </c>
      <c r="AI64">
        <v>97715.51</v>
      </c>
      <c r="AK64">
        <v>48095.05</v>
      </c>
      <c r="AM64">
        <v>48095.05</v>
      </c>
      <c r="AO64">
        <v>21414.81</v>
      </c>
      <c r="AQ64">
        <v>21414.81</v>
      </c>
      <c r="AV64">
        <v>11081.09</v>
      </c>
      <c r="AX64">
        <v>11081.09</v>
      </c>
      <c r="AY64">
        <v>178306.46</v>
      </c>
      <c r="BA64">
        <v>10085.82</v>
      </c>
      <c r="BC64">
        <v>10085.82</v>
      </c>
      <c r="BG64">
        <v>10085.82</v>
      </c>
      <c r="BW64">
        <v>275354.9800000001</v>
      </c>
      <c r="BX64" s="1"/>
      <c r="BY64" s="1"/>
    </row>
    <row r="65" spans="4:77">
      <c r="D65" s="3">
        <v>41946</v>
      </c>
      <c r="E65" s="11">
        <f t="shared" si="3"/>
        <v>260659.56999999998</v>
      </c>
      <c r="F65" s="4">
        <f t="shared" si="4"/>
        <v>170290.05999999997</v>
      </c>
      <c r="G65" s="4">
        <f t="shared" si="5"/>
        <v>0.65330446144755006</v>
      </c>
      <c r="H65" s="4">
        <f t="shared" si="0"/>
        <v>0</v>
      </c>
      <c r="I65" s="4">
        <f t="shared" si="1"/>
        <v>0</v>
      </c>
      <c r="J65" s="4">
        <f t="shared" si="6"/>
        <v>0</v>
      </c>
      <c r="K65" s="4">
        <f t="shared" si="7"/>
        <v>0</v>
      </c>
      <c r="L65" s="4">
        <f t="shared" si="8"/>
        <v>0</v>
      </c>
      <c r="M65" s="4">
        <f t="shared" si="9"/>
        <v>0</v>
      </c>
      <c r="N65" s="4">
        <f t="shared" si="10"/>
        <v>0</v>
      </c>
      <c r="O65" s="4">
        <f t="shared" si="11"/>
        <v>0</v>
      </c>
      <c r="P65" s="4">
        <f t="shared" si="12"/>
        <v>170290.05999999997</v>
      </c>
      <c r="Q65" s="4">
        <f t="shared" si="18"/>
        <v>0.65330446144755006</v>
      </c>
      <c r="R65" s="4">
        <v>59</v>
      </c>
      <c r="S65" s="4">
        <f t="shared" si="19"/>
        <v>173275.29723385128</v>
      </c>
      <c r="T65" s="4">
        <f t="shared" si="17"/>
        <v>0.66475708999999994</v>
      </c>
      <c r="U65" s="11">
        <f t="shared" si="13"/>
        <v>90369.510000000009</v>
      </c>
      <c r="V65" s="11">
        <f t="shared" si="14"/>
        <v>0.34669553855244989</v>
      </c>
      <c r="X65" s="3">
        <v>41946</v>
      </c>
      <c r="Z65">
        <v>11253.35</v>
      </c>
      <c r="AB65">
        <v>11253.35</v>
      </c>
      <c r="AE65">
        <v>11253.35</v>
      </c>
      <c r="AG65">
        <v>90357.119999999995</v>
      </c>
      <c r="AI65">
        <v>90357.119999999995</v>
      </c>
      <c r="AK65">
        <v>48933.49</v>
      </c>
      <c r="AM65">
        <v>48933.49</v>
      </c>
      <c r="AO65">
        <v>19249.900000000001</v>
      </c>
      <c r="AQ65">
        <v>19249.900000000001</v>
      </c>
      <c r="AV65">
        <v>11749.55</v>
      </c>
      <c r="AX65">
        <v>11749.55</v>
      </c>
      <c r="AY65">
        <v>170290.05999999997</v>
      </c>
      <c r="BA65">
        <v>9061.1200000000008</v>
      </c>
      <c r="BC65">
        <v>9061.1200000000008</v>
      </c>
      <c r="BG65">
        <v>9061.1200000000008</v>
      </c>
      <c r="BW65">
        <v>260659.56999999998</v>
      </c>
      <c r="BX65" s="1"/>
      <c r="BY65" s="1"/>
    </row>
    <row r="66" spans="4:77">
      <c r="D66" s="3">
        <v>41953</v>
      </c>
      <c r="E66" s="11">
        <f t="shared" si="3"/>
        <v>266117.57</v>
      </c>
      <c r="F66" s="4">
        <f t="shared" si="4"/>
        <v>176847.98</v>
      </c>
      <c r="G66" s="4">
        <f t="shared" si="5"/>
        <v>0.66454830472110504</v>
      </c>
      <c r="H66" s="4">
        <f t="shared" si="0"/>
        <v>0</v>
      </c>
      <c r="I66" s="4">
        <f t="shared" si="1"/>
        <v>0</v>
      </c>
      <c r="J66" s="4">
        <f t="shared" si="6"/>
        <v>0</v>
      </c>
      <c r="K66" s="4">
        <f t="shared" si="7"/>
        <v>0</v>
      </c>
      <c r="L66" s="4">
        <f t="shared" si="8"/>
        <v>0</v>
      </c>
      <c r="M66" s="4">
        <f t="shared" si="9"/>
        <v>0</v>
      </c>
      <c r="N66" s="4">
        <f t="shared" si="10"/>
        <v>0</v>
      </c>
      <c r="O66" s="4">
        <f t="shared" si="11"/>
        <v>0</v>
      </c>
      <c r="P66" s="4">
        <f t="shared" si="12"/>
        <v>176847.98</v>
      </c>
      <c r="Q66" s="4">
        <f t="shared" si="18"/>
        <v>0.66454830472110504</v>
      </c>
      <c r="R66" s="4">
        <v>60</v>
      </c>
      <c r="S66" s="4">
        <f t="shared" si="19"/>
        <v>176978.988423342</v>
      </c>
      <c r="T66" s="4">
        <f t="shared" si="17"/>
        <v>0.66504059999999998</v>
      </c>
      <c r="U66" s="11">
        <f t="shared" si="13"/>
        <v>89269.59</v>
      </c>
      <c r="V66" s="11">
        <f t="shared" si="14"/>
        <v>0.33545169527889496</v>
      </c>
      <c r="X66" s="3">
        <v>41953</v>
      </c>
      <c r="Z66">
        <v>11517.59</v>
      </c>
      <c r="AB66">
        <v>11517.59</v>
      </c>
      <c r="AE66">
        <v>11517.59</v>
      </c>
      <c r="AG66">
        <v>93928.61</v>
      </c>
      <c r="AI66">
        <v>93928.61</v>
      </c>
      <c r="AK66">
        <v>50318.78</v>
      </c>
      <c r="AM66">
        <v>50318.78</v>
      </c>
      <c r="AO66">
        <v>20792.189999999999</v>
      </c>
      <c r="AQ66">
        <v>20792.189999999999</v>
      </c>
      <c r="AV66">
        <v>11808.4</v>
      </c>
      <c r="AX66">
        <v>11808.4</v>
      </c>
      <c r="AY66">
        <v>176847.98</v>
      </c>
      <c r="BA66">
        <v>9124.43</v>
      </c>
      <c r="BC66">
        <v>9124.43</v>
      </c>
      <c r="BG66">
        <v>9124.43</v>
      </c>
      <c r="BW66">
        <v>266117.57</v>
      </c>
      <c r="BX66" s="1"/>
      <c r="BY66" s="1"/>
    </row>
    <row r="67" spans="4:77">
      <c r="D67" s="3">
        <v>41960</v>
      </c>
      <c r="E67" s="11">
        <f t="shared" si="3"/>
        <v>288078.98999999993</v>
      </c>
      <c r="F67" s="4">
        <f t="shared" si="4"/>
        <v>191298.94999999998</v>
      </c>
      <c r="G67" s="4">
        <f t="shared" si="5"/>
        <v>0.66405033563884697</v>
      </c>
      <c r="H67" s="4">
        <f t="shared" si="0"/>
        <v>0</v>
      </c>
      <c r="I67" s="4">
        <f t="shared" si="1"/>
        <v>0</v>
      </c>
      <c r="J67" s="4">
        <f t="shared" si="6"/>
        <v>0</v>
      </c>
      <c r="K67" s="4">
        <f t="shared" si="7"/>
        <v>-1.18</v>
      </c>
      <c r="L67" s="4">
        <f t="shared" si="8"/>
        <v>-1.18</v>
      </c>
      <c r="M67" s="4">
        <f t="shared" si="9"/>
        <v>-4.096098781795924E-6</v>
      </c>
      <c r="N67" s="4">
        <f t="shared" si="10"/>
        <v>0</v>
      </c>
      <c r="O67" s="4">
        <f t="shared" si="11"/>
        <v>0</v>
      </c>
      <c r="P67" s="4">
        <f t="shared" si="12"/>
        <v>191298.94999999998</v>
      </c>
      <c r="Q67" s="4">
        <f t="shared" si="18"/>
        <v>0.66405033563884697</v>
      </c>
      <c r="R67" s="4">
        <v>61</v>
      </c>
      <c r="S67" s="4">
        <f t="shared" si="19"/>
        <v>191665.89763144887</v>
      </c>
      <c r="T67" s="4">
        <f t="shared" si="17"/>
        <v>0.66532411000000002</v>
      </c>
      <c r="U67" s="11">
        <f t="shared" si="13"/>
        <v>96781.219999999943</v>
      </c>
      <c r="V67" s="11">
        <f t="shared" si="14"/>
        <v>0.33595376045993486</v>
      </c>
      <c r="X67" s="3">
        <v>41960</v>
      </c>
      <c r="Z67">
        <v>12176.18</v>
      </c>
      <c r="AB67">
        <v>12176.18</v>
      </c>
      <c r="AE67">
        <v>12176.18</v>
      </c>
      <c r="AG67">
        <v>101163.04</v>
      </c>
      <c r="AI67">
        <v>101163.04</v>
      </c>
      <c r="AK67">
        <v>54917.64</v>
      </c>
      <c r="AM67">
        <v>54917.64</v>
      </c>
      <c r="AO67">
        <v>22578.55</v>
      </c>
      <c r="AQ67">
        <v>22578.55</v>
      </c>
      <c r="AV67">
        <v>12639.72</v>
      </c>
      <c r="AX67">
        <v>12639.72</v>
      </c>
      <c r="AY67">
        <v>191298.94999999998</v>
      </c>
      <c r="BA67">
        <v>9953.5400000000009</v>
      </c>
      <c r="BC67">
        <v>9953.5400000000009</v>
      </c>
      <c r="BD67">
        <v>-1.18</v>
      </c>
      <c r="BF67">
        <v>-1.18</v>
      </c>
      <c r="BG67">
        <v>9952.36</v>
      </c>
      <c r="BW67">
        <v>288078.98999999993</v>
      </c>
      <c r="BX67" s="1"/>
      <c r="BY67" s="1"/>
    </row>
    <row r="68" spans="4:77">
      <c r="D68" s="3">
        <v>41967</v>
      </c>
      <c r="E68" s="11">
        <f t="shared" si="3"/>
        <v>213978.13</v>
      </c>
      <c r="F68" s="4">
        <f t="shared" si="4"/>
        <v>141458.01</v>
      </c>
      <c r="G68" s="4">
        <f t="shared" si="5"/>
        <v>0.66108629886615056</v>
      </c>
      <c r="H68" s="4">
        <f t="shared" ref="H68:H76" si="20">AB68-Z68-Y68-BX68</f>
        <v>0</v>
      </c>
      <c r="I68" s="4">
        <f t="shared" ref="I68:I76" si="21">BC68-BA68-AZ68-BY68</f>
        <v>0</v>
      </c>
      <c r="J68" s="4">
        <f t="shared" si="6"/>
        <v>0</v>
      </c>
      <c r="K68" s="4">
        <f t="shared" si="7"/>
        <v>0</v>
      </c>
      <c r="L68" s="4">
        <f t="shared" si="8"/>
        <v>0</v>
      </c>
      <c r="M68" s="4">
        <f t="shared" si="9"/>
        <v>0</v>
      </c>
      <c r="N68" s="4">
        <f t="shared" si="10"/>
        <v>0</v>
      </c>
      <c r="O68" s="4">
        <f t="shared" si="11"/>
        <v>0</v>
      </c>
      <c r="P68" s="4">
        <f t="shared" si="12"/>
        <v>141458.01</v>
      </c>
      <c r="Q68" s="4">
        <f t="shared" ref="Q68:Q99" si="22">P68/E68</f>
        <v>0.66108629886615056</v>
      </c>
      <c r="R68" s="4">
        <v>62</v>
      </c>
      <c r="S68" s="4">
        <f t="shared" si="19"/>
        <v>142425.47384135058</v>
      </c>
      <c r="T68" s="4">
        <f t="shared" si="17"/>
        <v>0.66560761999999996</v>
      </c>
      <c r="U68" s="11">
        <f t="shared" si="13"/>
        <v>72520.12</v>
      </c>
      <c r="V68" s="11">
        <f t="shared" si="14"/>
        <v>0.3389137011338495</v>
      </c>
      <c r="X68" s="3">
        <v>41967</v>
      </c>
      <c r="Z68">
        <v>9016.68</v>
      </c>
      <c r="AB68">
        <v>9016.68</v>
      </c>
      <c r="AE68">
        <v>9016.68</v>
      </c>
      <c r="AG68">
        <v>77342.070000000007</v>
      </c>
      <c r="AI68">
        <v>77342.070000000007</v>
      </c>
      <c r="AK68">
        <v>39308.589999999997</v>
      </c>
      <c r="AM68">
        <v>39308.589999999997</v>
      </c>
      <c r="AO68">
        <v>16077.78</v>
      </c>
      <c r="AQ68">
        <v>16077.78</v>
      </c>
      <c r="AV68">
        <v>8729.57</v>
      </c>
      <c r="AX68">
        <v>8729.57</v>
      </c>
      <c r="AY68">
        <v>141458.01</v>
      </c>
      <c r="BA68">
        <v>7334.29</v>
      </c>
      <c r="BC68">
        <v>7334.29</v>
      </c>
      <c r="BG68">
        <v>7334.29</v>
      </c>
      <c r="BW68">
        <v>213978.13</v>
      </c>
      <c r="BX68" s="1"/>
      <c r="BY68" s="1"/>
    </row>
    <row r="69" spans="4:77">
      <c r="D69" s="3">
        <v>41974</v>
      </c>
      <c r="E69" s="11">
        <f t="shared" ref="E69:E110" si="23">BW69</f>
        <v>259560.16</v>
      </c>
      <c r="F69" s="4">
        <f t="shared" ref="F69:F110" si="24">AY69</f>
        <v>172463.4</v>
      </c>
      <c r="G69" s="4">
        <f t="shared" ref="G69:G110" si="25">F69/E69</f>
        <v>0.66444480539694528</v>
      </c>
      <c r="H69" s="4">
        <f t="shared" si="20"/>
        <v>0</v>
      </c>
      <c r="I69" s="4">
        <f t="shared" si="21"/>
        <v>0</v>
      </c>
      <c r="J69" s="4">
        <f t="shared" ref="J69:J110" si="26">SUM(H69:I69)</f>
        <v>0</v>
      </c>
      <c r="K69" s="4">
        <f t="shared" ref="K69:K110" si="27">SUM(AD69,BF69)</f>
        <v>0</v>
      </c>
      <c r="L69" s="4">
        <f t="shared" ref="L69:L110" si="28">SUM(J69:K69)</f>
        <v>0</v>
      </c>
      <c r="M69" s="4">
        <f t="shared" ref="M69:M110" si="29">L69/E69</f>
        <v>0</v>
      </c>
      <c r="N69" s="4">
        <f t="shared" ref="N69:N103" si="30">SUM(BM69,BR69,BV69)</f>
        <v>-0.53</v>
      </c>
      <c r="O69" s="4">
        <f t="shared" ref="O69:O110" si="31">N69/E69</f>
        <v>-2.041915831767094E-6</v>
      </c>
      <c r="P69" s="4">
        <f t="shared" ref="P69:P110" si="32">SUM(F69,N69)</f>
        <v>172462.87</v>
      </c>
      <c r="Q69" s="4">
        <f t="shared" si="22"/>
        <v>0.66444276348111353</v>
      </c>
      <c r="R69" s="4">
        <v>63</v>
      </c>
      <c r="S69" s="4">
        <f t="shared" si="19"/>
        <v>172838.80824538079</v>
      </c>
      <c r="T69" s="4">
        <f t="shared" si="17"/>
        <v>0.66589113</v>
      </c>
      <c r="U69" s="11">
        <f t="shared" ref="U69:U110" si="33">E69-SUM(F69,L69,N69)</f>
        <v>87097.290000000008</v>
      </c>
      <c r="V69" s="11">
        <f t="shared" ref="V69:V110" si="34">U69/E69</f>
        <v>0.33555723651888641</v>
      </c>
      <c r="X69" s="3">
        <v>41974</v>
      </c>
      <c r="Z69">
        <v>10780.49</v>
      </c>
      <c r="AB69">
        <v>10780.49</v>
      </c>
      <c r="AE69">
        <v>10780.49</v>
      </c>
      <c r="AG69">
        <v>92090.18</v>
      </c>
      <c r="AI69">
        <v>92090.18</v>
      </c>
      <c r="AK69">
        <v>49064.79</v>
      </c>
      <c r="AM69">
        <v>49064.79</v>
      </c>
      <c r="AO69">
        <v>19802.490000000002</v>
      </c>
      <c r="AQ69">
        <v>19802.490000000002</v>
      </c>
      <c r="AV69">
        <v>11505.94</v>
      </c>
      <c r="AX69">
        <v>11505.94</v>
      </c>
      <c r="AY69">
        <v>172463.4</v>
      </c>
      <c r="BA69">
        <v>9025.76</v>
      </c>
      <c r="BC69">
        <v>9025.76</v>
      </c>
      <c r="BG69">
        <v>9025.76</v>
      </c>
      <c r="BS69">
        <v>-0.53</v>
      </c>
      <c r="BU69">
        <v>-0.53</v>
      </c>
      <c r="BV69">
        <v>-0.53</v>
      </c>
      <c r="BW69">
        <v>259560.16</v>
      </c>
      <c r="BX69" s="1"/>
      <c r="BY69" s="1"/>
    </row>
    <row r="70" spans="4:77">
      <c r="D70" s="3">
        <v>41981</v>
      </c>
      <c r="E70" s="11">
        <f t="shared" si="23"/>
        <v>256359.85999999996</v>
      </c>
      <c r="F70" s="4">
        <f t="shared" si="24"/>
        <v>172494.32</v>
      </c>
      <c r="G70" s="4">
        <f t="shared" si="25"/>
        <v>0.67286009596042073</v>
      </c>
      <c r="H70" s="4">
        <f t="shared" si="20"/>
        <v>0</v>
      </c>
      <c r="I70" s="4">
        <f t="shared" si="21"/>
        <v>0</v>
      </c>
      <c r="J70" s="4">
        <f t="shared" si="26"/>
        <v>0</v>
      </c>
      <c r="K70" s="4">
        <f t="shared" si="27"/>
        <v>0</v>
      </c>
      <c r="L70" s="4">
        <f t="shared" si="28"/>
        <v>0</v>
      </c>
      <c r="M70" s="4">
        <f t="shared" si="29"/>
        <v>0</v>
      </c>
      <c r="N70" s="4">
        <f t="shared" si="30"/>
        <v>0</v>
      </c>
      <c r="O70" s="4">
        <f t="shared" si="31"/>
        <v>0</v>
      </c>
      <c r="P70" s="4">
        <f t="shared" si="32"/>
        <v>172494.32</v>
      </c>
      <c r="Q70" s="4">
        <f t="shared" si="22"/>
        <v>0.67286009596042073</v>
      </c>
      <c r="R70" s="4">
        <v>64</v>
      </c>
      <c r="S70" s="4">
        <f t="shared" si="19"/>
        <v>170780.43744595037</v>
      </c>
      <c r="T70" s="4">
        <f t="shared" ref="T70:T110" si="35">$B$9+$B$10*R70</f>
        <v>0.66617464000000004</v>
      </c>
      <c r="U70" s="11">
        <f t="shared" si="33"/>
        <v>83865.53999999995</v>
      </c>
      <c r="V70" s="11">
        <f t="shared" si="34"/>
        <v>0.32713990403957921</v>
      </c>
      <c r="X70" s="3">
        <v>41981</v>
      </c>
      <c r="Z70">
        <v>10355.049999999999</v>
      </c>
      <c r="AB70">
        <v>10355.049999999999</v>
      </c>
      <c r="AE70">
        <v>10355.049999999999</v>
      </c>
      <c r="AG70">
        <v>92266.34</v>
      </c>
      <c r="AI70">
        <v>92266.34</v>
      </c>
      <c r="AK70">
        <v>48964.639999999999</v>
      </c>
      <c r="AM70">
        <v>48964.639999999999</v>
      </c>
      <c r="AO70">
        <v>19645.7</v>
      </c>
      <c r="AQ70">
        <v>19645.7</v>
      </c>
      <c r="AV70">
        <v>11617.64</v>
      </c>
      <c r="AX70">
        <v>11617.64</v>
      </c>
      <c r="AY70">
        <v>172494.32</v>
      </c>
      <c r="BA70">
        <v>8495.35</v>
      </c>
      <c r="BC70">
        <v>8495.35</v>
      </c>
      <c r="BG70">
        <v>8495.35</v>
      </c>
      <c r="BW70">
        <v>256359.85999999996</v>
      </c>
      <c r="BX70" s="1"/>
      <c r="BY70" s="1"/>
    </row>
    <row r="71" spans="4:77">
      <c r="D71" s="3">
        <v>41988</v>
      </c>
      <c r="E71" s="11">
        <f t="shared" si="23"/>
        <v>279161.44999999995</v>
      </c>
      <c r="F71" s="4">
        <f t="shared" si="24"/>
        <v>191090.06999999998</v>
      </c>
      <c r="G71" s="4">
        <f t="shared" si="25"/>
        <v>0.68451453451040611</v>
      </c>
      <c r="H71" s="4">
        <f t="shared" si="20"/>
        <v>0</v>
      </c>
      <c r="I71" s="4">
        <f t="shared" si="21"/>
        <v>0</v>
      </c>
      <c r="J71" s="4">
        <f t="shared" si="26"/>
        <v>0</v>
      </c>
      <c r="K71" s="4">
        <f t="shared" si="27"/>
        <v>0</v>
      </c>
      <c r="L71" s="4">
        <f t="shared" si="28"/>
        <v>0</v>
      </c>
      <c r="M71" s="4">
        <f t="shared" si="29"/>
        <v>0</v>
      </c>
      <c r="N71" s="4">
        <f t="shared" si="30"/>
        <v>0</v>
      </c>
      <c r="O71" s="4">
        <f t="shared" si="31"/>
        <v>0</v>
      </c>
      <c r="P71" s="4">
        <f t="shared" si="32"/>
        <v>191090.06999999998</v>
      </c>
      <c r="Q71" s="4">
        <f t="shared" si="22"/>
        <v>0.68451453451040611</v>
      </c>
      <c r="R71" s="4">
        <v>65</v>
      </c>
      <c r="S71" s="4">
        <f t="shared" ref="S71:S102" si="36">T71*E71</f>
        <v>186049.42351831746</v>
      </c>
      <c r="T71" s="4">
        <f t="shared" si="35"/>
        <v>0.66645814999999997</v>
      </c>
      <c r="U71" s="11">
        <f t="shared" si="33"/>
        <v>88071.379999999976</v>
      </c>
      <c r="V71" s="11">
        <f t="shared" si="34"/>
        <v>0.31548546548959389</v>
      </c>
      <c r="X71" s="3">
        <v>41988</v>
      </c>
      <c r="Z71">
        <v>10332.700000000001</v>
      </c>
      <c r="AB71">
        <v>10332.700000000001</v>
      </c>
      <c r="AE71">
        <v>10332.700000000001</v>
      </c>
      <c r="AG71">
        <v>102550.91</v>
      </c>
      <c r="AI71">
        <v>102550.91</v>
      </c>
      <c r="AK71">
        <v>53844.62</v>
      </c>
      <c r="AM71">
        <v>53844.62</v>
      </c>
      <c r="AO71">
        <v>21709.27</v>
      </c>
      <c r="AQ71">
        <v>21709.27</v>
      </c>
      <c r="AV71">
        <v>12985.27</v>
      </c>
      <c r="AX71">
        <v>12985.27</v>
      </c>
      <c r="AY71">
        <v>191090.06999999998</v>
      </c>
      <c r="BA71">
        <v>8825.2999999999993</v>
      </c>
      <c r="BC71">
        <v>8825.2999999999993</v>
      </c>
      <c r="BG71">
        <v>8825.2999999999993</v>
      </c>
      <c r="BW71">
        <v>279161.44999999995</v>
      </c>
      <c r="BX71" s="1"/>
      <c r="BY71" s="1"/>
    </row>
    <row r="72" spans="4:77">
      <c r="D72" s="3">
        <v>41995</v>
      </c>
      <c r="E72" s="11">
        <f t="shared" si="23"/>
        <v>210902.77000000002</v>
      </c>
      <c r="F72" s="4">
        <f t="shared" si="24"/>
        <v>142558.32</v>
      </c>
      <c r="G72" s="4">
        <f t="shared" si="25"/>
        <v>0.67594332687048153</v>
      </c>
      <c r="H72" s="4">
        <f t="shared" si="20"/>
        <v>0</v>
      </c>
      <c r="I72" s="4">
        <f t="shared" si="21"/>
        <v>0</v>
      </c>
      <c r="J72" s="4">
        <f t="shared" si="26"/>
        <v>0</v>
      </c>
      <c r="K72" s="4">
        <f t="shared" si="27"/>
        <v>0</v>
      </c>
      <c r="L72" s="4">
        <f t="shared" si="28"/>
        <v>0</v>
      </c>
      <c r="M72" s="4">
        <f t="shared" si="29"/>
        <v>0</v>
      </c>
      <c r="N72" s="4">
        <f t="shared" si="30"/>
        <v>0</v>
      </c>
      <c r="O72" s="4">
        <f t="shared" si="31"/>
        <v>0</v>
      </c>
      <c r="P72" s="4">
        <f t="shared" si="32"/>
        <v>142558.32</v>
      </c>
      <c r="Q72" s="4">
        <f t="shared" si="22"/>
        <v>0.67594332687048153</v>
      </c>
      <c r="R72" s="4">
        <v>66</v>
      </c>
      <c r="S72" s="4">
        <f t="shared" si="36"/>
        <v>140617.66296839822</v>
      </c>
      <c r="T72" s="4">
        <f t="shared" si="35"/>
        <v>0.66674166000000001</v>
      </c>
      <c r="U72" s="11">
        <f t="shared" si="33"/>
        <v>68344.450000000012</v>
      </c>
      <c r="V72" s="11">
        <f t="shared" si="34"/>
        <v>0.32405667312951841</v>
      </c>
      <c r="X72" s="3">
        <v>41995</v>
      </c>
      <c r="Z72">
        <v>7754.14</v>
      </c>
      <c r="AB72">
        <v>7754.14</v>
      </c>
      <c r="AE72">
        <v>7754.14</v>
      </c>
      <c r="AG72">
        <v>80669.91</v>
      </c>
      <c r="AI72">
        <v>80669.91</v>
      </c>
      <c r="AK72">
        <v>37836.400000000001</v>
      </c>
      <c r="AM72">
        <v>37836.400000000001</v>
      </c>
      <c r="AO72">
        <v>15306.13</v>
      </c>
      <c r="AQ72">
        <v>15306.13</v>
      </c>
      <c r="AV72">
        <v>8745.8799999999992</v>
      </c>
      <c r="AX72">
        <v>8745.8799999999992</v>
      </c>
      <c r="AY72">
        <v>142558.32</v>
      </c>
      <c r="BA72">
        <v>6826.9</v>
      </c>
      <c r="BC72">
        <v>6826.9</v>
      </c>
      <c r="BG72">
        <v>6826.9</v>
      </c>
      <c r="BW72">
        <v>210902.77000000002</v>
      </c>
      <c r="BX72" s="1"/>
      <c r="BY72" s="1"/>
    </row>
    <row r="73" spans="4:77">
      <c r="D73" s="3">
        <v>42002</v>
      </c>
      <c r="E73" s="11">
        <f t="shared" si="23"/>
        <v>240861.74</v>
      </c>
      <c r="F73" s="4">
        <f t="shared" si="24"/>
        <v>164239.07</v>
      </c>
      <c r="G73" s="4">
        <f t="shared" si="25"/>
        <v>0.68188110739381025</v>
      </c>
      <c r="H73" s="4">
        <f t="shared" si="20"/>
        <v>0</v>
      </c>
      <c r="I73" s="4">
        <f t="shared" si="21"/>
        <v>0</v>
      </c>
      <c r="J73" s="4">
        <f t="shared" si="26"/>
        <v>0</v>
      </c>
      <c r="K73" s="4">
        <f t="shared" si="27"/>
        <v>0</v>
      </c>
      <c r="L73" s="4">
        <f t="shared" si="28"/>
        <v>0</v>
      </c>
      <c r="M73" s="4">
        <f t="shared" si="29"/>
        <v>0</v>
      </c>
      <c r="N73" s="4">
        <f t="shared" si="30"/>
        <v>0</v>
      </c>
      <c r="O73" s="4">
        <f t="shared" si="31"/>
        <v>0</v>
      </c>
      <c r="P73" s="4">
        <f t="shared" si="32"/>
        <v>164239.07</v>
      </c>
      <c r="Q73" s="4">
        <f t="shared" si="22"/>
        <v>0.68188110739381025</v>
      </c>
      <c r="R73" s="4">
        <v>67</v>
      </c>
      <c r="S73" s="4">
        <f t="shared" si="36"/>
        <v>160660.84306999578</v>
      </c>
      <c r="T73" s="4">
        <f t="shared" si="35"/>
        <v>0.66702516999999995</v>
      </c>
      <c r="U73" s="11">
        <f t="shared" si="33"/>
        <v>76622.669999999984</v>
      </c>
      <c r="V73" s="11">
        <f t="shared" si="34"/>
        <v>0.3181188926061897</v>
      </c>
      <c r="X73" s="3">
        <v>42002</v>
      </c>
      <c r="Z73">
        <v>8162.59</v>
      </c>
      <c r="AB73">
        <v>8162.59</v>
      </c>
      <c r="AE73">
        <v>8162.59</v>
      </c>
      <c r="AG73">
        <v>93533.25</v>
      </c>
      <c r="AI73">
        <v>93533.25</v>
      </c>
      <c r="AK73">
        <v>42614.95</v>
      </c>
      <c r="AM73">
        <v>42614.95</v>
      </c>
      <c r="AO73">
        <v>17382.02</v>
      </c>
      <c r="AQ73">
        <v>17382.02</v>
      </c>
      <c r="AV73">
        <v>10708.85</v>
      </c>
      <c r="AX73">
        <v>10708.85</v>
      </c>
      <c r="AY73">
        <v>164239.07</v>
      </c>
      <c r="BA73">
        <v>7423.43</v>
      </c>
      <c r="BC73">
        <v>7423.43</v>
      </c>
      <c r="BG73">
        <v>7423.43</v>
      </c>
      <c r="BW73">
        <v>240861.74</v>
      </c>
      <c r="BX73" s="1"/>
      <c r="BY73" s="1"/>
    </row>
    <row r="74" spans="4:77">
      <c r="D74" s="3">
        <v>42009</v>
      </c>
      <c r="E74" s="11">
        <f t="shared" si="23"/>
        <v>283447.59000000003</v>
      </c>
      <c r="F74" s="4">
        <f t="shared" si="24"/>
        <v>190174.63</v>
      </c>
      <c r="G74" s="4">
        <f t="shared" si="25"/>
        <v>0.67093401640846551</v>
      </c>
      <c r="H74" s="4">
        <f t="shared" si="20"/>
        <v>0</v>
      </c>
      <c r="I74" s="4">
        <f t="shared" si="21"/>
        <v>0</v>
      </c>
      <c r="J74" s="4">
        <f t="shared" si="26"/>
        <v>0</v>
      </c>
      <c r="K74" s="4">
        <f t="shared" si="27"/>
        <v>-0.12</v>
      </c>
      <c r="L74" s="4">
        <f t="shared" si="28"/>
        <v>-0.12</v>
      </c>
      <c r="M74" s="4">
        <f t="shared" si="29"/>
        <v>-4.233586886379947E-7</v>
      </c>
      <c r="N74" s="4">
        <f t="shared" si="30"/>
        <v>1.42</v>
      </c>
      <c r="O74" s="4">
        <f t="shared" si="31"/>
        <v>5.0097444822162711E-6</v>
      </c>
      <c r="P74" s="4">
        <f t="shared" si="32"/>
        <v>190176.05000000002</v>
      </c>
      <c r="Q74" s="4">
        <f t="shared" si="22"/>
        <v>0.67093902615294776</v>
      </c>
      <c r="R74" s="4">
        <v>68</v>
      </c>
      <c r="S74" s="4">
        <f t="shared" si="36"/>
        <v>189147.03713208123</v>
      </c>
      <c r="T74" s="4">
        <f t="shared" si="35"/>
        <v>0.66730867999999999</v>
      </c>
      <c r="U74" s="11">
        <f t="shared" si="33"/>
        <v>93271.66</v>
      </c>
      <c r="V74" s="11">
        <f t="shared" si="34"/>
        <v>0.3290613972057409</v>
      </c>
      <c r="X74" s="3">
        <v>42009</v>
      </c>
      <c r="AA74">
        <v>10286.83</v>
      </c>
      <c r="AB74">
        <v>10286.83</v>
      </c>
      <c r="AC74">
        <v>-0.12</v>
      </c>
      <c r="AD74">
        <v>-0.12</v>
      </c>
      <c r="AE74">
        <v>10286.709999999999</v>
      </c>
      <c r="AH74">
        <v>107135.64</v>
      </c>
      <c r="AI74">
        <v>107135.64</v>
      </c>
      <c r="AL74">
        <v>49875.29</v>
      </c>
      <c r="AM74">
        <v>49875.29</v>
      </c>
      <c r="AP74">
        <v>20543.63</v>
      </c>
      <c r="AQ74">
        <v>20543.63</v>
      </c>
      <c r="AW74">
        <v>12620.07</v>
      </c>
      <c r="AX74">
        <v>12620.07</v>
      </c>
      <c r="AY74">
        <v>190174.63</v>
      </c>
      <c r="BB74">
        <v>8772.39</v>
      </c>
      <c r="BC74">
        <v>8772.39</v>
      </c>
      <c r="BG74">
        <v>8772.39</v>
      </c>
      <c r="BT74">
        <v>1.42</v>
      </c>
      <c r="BU74">
        <v>1.42</v>
      </c>
      <c r="BV74">
        <v>1.42</v>
      </c>
      <c r="BW74">
        <v>283447.59000000003</v>
      </c>
      <c r="BX74" s="1">
        <v>10286.83</v>
      </c>
      <c r="BY74" s="1">
        <v>8772.39</v>
      </c>
    </row>
    <row r="75" spans="4:77">
      <c r="D75" s="3">
        <v>42016</v>
      </c>
      <c r="E75" s="11">
        <f t="shared" si="23"/>
        <v>259104.09999999998</v>
      </c>
      <c r="F75" s="4">
        <f t="shared" si="24"/>
        <v>178386.86999999997</v>
      </c>
      <c r="G75" s="4">
        <f t="shared" si="25"/>
        <v>0.68847567444899549</v>
      </c>
      <c r="H75" s="4">
        <f t="shared" si="20"/>
        <v>0</v>
      </c>
      <c r="I75" s="4">
        <f t="shared" si="21"/>
        <v>0</v>
      </c>
      <c r="J75" s="4">
        <f t="shared" si="26"/>
        <v>0</v>
      </c>
      <c r="K75" s="4">
        <f t="shared" si="27"/>
        <v>0</v>
      </c>
      <c r="L75" s="4">
        <f t="shared" si="28"/>
        <v>0</v>
      </c>
      <c r="M75" s="4">
        <f t="shared" si="29"/>
        <v>0</v>
      </c>
      <c r="N75" s="4">
        <f t="shared" si="30"/>
        <v>-0.35</v>
      </c>
      <c r="O75" s="4">
        <f t="shared" si="31"/>
        <v>-1.3508084202449904E-6</v>
      </c>
      <c r="P75" s="4">
        <f t="shared" si="32"/>
        <v>178386.51999999996</v>
      </c>
      <c r="Q75" s="4">
        <f t="shared" si="22"/>
        <v>0.68847432364057526</v>
      </c>
      <c r="R75" s="4">
        <v>69</v>
      </c>
      <c r="S75" s="4">
        <f t="shared" si="36"/>
        <v>172975.873556979</v>
      </c>
      <c r="T75" s="4">
        <f t="shared" si="35"/>
        <v>0.66759219000000003</v>
      </c>
      <c r="U75" s="11">
        <f t="shared" si="33"/>
        <v>80717.580000000016</v>
      </c>
      <c r="V75" s="11">
        <f t="shared" si="34"/>
        <v>0.31152567635942474</v>
      </c>
      <c r="X75" s="3">
        <v>42016</v>
      </c>
      <c r="AA75">
        <v>8606.09</v>
      </c>
      <c r="AB75">
        <v>8606.09</v>
      </c>
      <c r="AE75">
        <v>8606.09</v>
      </c>
      <c r="AH75">
        <v>98956.800000000003</v>
      </c>
      <c r="AI75">
        <v>98956.800000000003</v>
      </c>
      <c r="AL75">
        <v>48531.06</v>
      </c>
      <c r="AM75">
        <v>48531.06</v>
      </c>
      <c r="AP75">
        <v>19402.71</v>
      </c>
      <c r="AQ75">
        <v>19402.71</v>
      </c>
      <c r="AW75">
        <v>11496.3</v>
      </c>
      <c r="AX75">
        <v>11496.3</v>
      </c>
      <c r="AY75">
        <v>178386.86999999997</v>
      </c>
      <c r="BB75">
        <v>7182.77</v>
      </c>
      <c r="BC75">
        <v>7182.77</v>
      </c>
      <c r="BE75">
        <v>0</v>
      </c>
      <c r="BF75">
        <v>0</v>
      </c>
      <c r="BG75">
        <v>7182.77</v>
      </c>
      <c r="BT75">
        <v>-0.35</v>
      </c>
      <c r="BU75">
        <v>-0.35</v>
      </c>
      <c r="BV75">
        <v>-0.35</v>
      </c>
      <c r="BW75">
        <v>259104.09999999998</v>
      </c>
      <c r="BX75" s="1">
        <v>8606.09</v>
      </c>
      <c r="BY75" s="1">
        <v>7182.77</v>
      </c>
    </row>
    <row r="76" spans="4:77">
      <c r="D76" s="3">
        <v>42023</v>
      </c>
      <c r="E76" s="11">
        <f t="shared" si="23"/>
        <v>246910.77000000002</v>
      </c>
      <c r="F76" s="4">
        <f t="shared" si="24"/>
        <v>170028.36000000002</v>
      </c>
      <c r="G76" s="4">
        <f t="shared" si="25"/>
        <v>0.68862269555920952</v>
      </c>
      <c r="H76" s="4">
        <f t="shared" si="20"/>
        <v>0</v>
      </c>
      <c r="I76" s="4">
        <f t="shared" si="21"/>
        <v>0</v>
      </c>
      <c r="J76" s="4">
        <f t="shared" si="26"/>
        <v>0</v>
      </c>
      <c r="K76" s="4">
        <f t="shared" si="27"/>
        <v>-1.24</v>
      </c>
      <c r="L76" s="4">
        <f t="shared" si="28"/>
        <v>-1.24</v>
      </c>
      <c r="M76" s="4">
        <f t="shared" si="29"/>
        <v>-5.0220571585435499E-6</v>
      </c>
      <c r="N76" s="4">
        <f t="shared" si="30"/>
        <v>0</v>
      </c>
      <c r="O76" s="4">
        <f t="shared" si="31"/>
        <v>0</v>
      </c>
      <c r="P76" s="4">
        <f t="shared" si="32"/>
        <v>170028.36000000002</v>
      </c>
      <c r="Q76" s="4">
        <f t="shared" si="22"/>
        <v>0.68862269555920952</v>
      </c>
      <c r="R76" s="4">
        <v>70</v>
      </c>
      <c r="S76" s="4">
        <f t="shared" si="36"/>
        <v>164905.703351289</v>
      </c>
      <c r="T76" s="4">
        <f t="shared" si="35"/>
        <v>0.66787569999999996</v>
      </c>
      <c r="U76" s="11">
        <f t="shared" si="33"/>
        <v>76883.649999999994</v>
      </c>
      <c r="V76" s="11">
        <f t="shared" si="34"/>
        <v>0.311382326497949</v>
      </c>
      <c r="X76" s="3">
        <v>42023</v>
      </c>
      <c r="AA76">
        <v>7100.06</v>
      </c>
      <c r="AB76">
        <v>7100.06</v>
      </c>
      <c r="AC76">
        <v>-1.24</v>
      </c>
      <c r="AD76">
        <v>-1.24</v>
      </c>
      <c r="AE76">
        <v>7098.8200000000006</v>
      </c>
      <c r="AH76">
        <v>91811.5</v>
      </c>
      <c r="AI76">
        <v>91811.5</v>
      </c>
      <c r="AL76">
        <v>48599.26</v>
      </c>
      <c r="AM76">
        <v>48599.26</v>
      </c>
      <c r="AP76">
        <v>18434.98</v>
      </c>
      <c r="AQ76">
        <v>18434.98</v>
      </c>
      <c r="AW76">
        <v>11182.62</v>
      </c>
      <c r="AX76">
        <v>11182.62</v>
      </c>
      <c r="AY76">
        <v>170028.36000000002</v>
      </c>
      <c r="BB76">
        <v>6060.29</v>
      </c>
      <c r="BC76">
        <v>6060.29</v>
      </c>
      <c r="BG76">
        <v>6060.29</v>
      </c>
      <c r="BP76">
        <v>0</v>
      </c>
      <c r="BQ76">
        <v>0</v>
      </c>
      <c r="BR76">
        <v>0</v>
      </c>
      <c r="BW76">
        <v>246910.77000000002</v>
      </c>
      <c r="BX76" s="1">
        <v>7100.06</v>
      </c>
      <c r="BY76" s="1">
        <v>6060.29</v>
      </c>
    </row>
    <row r="77" spans="4:77">
      <c r="D77" s="3">
        <v>42030</v>
      </c>
      <c r="E77" s="11">
        <f t="shared" si="23"/>
        <v>247083.44</v>
      </c>
      <c r="F77" s="4">
        <f t="shared" si="24"/>
        <v>171730.69000000003</v>
      </c>
      <c r="G77" s="4">
        <f t="shared" si="25"/>
        <v>0.69503116032381629</v>
      </c>
      <c r="H77" s="4">
        <f>AB77-Z77-Y77-BX77</f>
        <v>0</v>
      </c>
      <c r="I77" s="4">
        <f>BC77-BA77-AZ77-BY77</f>
        <v>0</v>
      </c>
      <c r="J77" s="4">
        <f t="shared" si="26"/>
        <v>0</v>
      </c>
      <c r="K77" s="4">
        <f t="shared" si="27"/>
        <v>0</v>
      </c>
      <c r="L77" s="4">
        <f t="shared" si="28"/>
        <v>0</v>
      </c>
      <c r="M77" s="4">
        <f t="shared" si="29"/>
        <v>0</v>
      </c>
      <c r="N77" s="4">
        <f t="shared" si="30"/>
        <v>-1.24</v>
      </c>
      <c r="O77" s="4">
        <f t="shared" si="31"/>
        <v>-5.0185475805258335E-6</v>
      </c>
      <c r="P77" s="4">
        <f t="shared" si="32"/>
        <v>171729.45000000004</v>
      </c>
      <c r="Q77" s="4">
        <f t="shared" si="22"/>
        <v>0.69502614177623578</v>
      </c>
      <c r="R77" s="4">
        <v>71</v>
      </c>
      <c r="S77" s="4">
        <f t="shared" si="36"/>
        <v>165091.07607448241</v>
      </c>
      <c r="T77" s="4">
        <f t="shared" si="35"/>
        <v>0.66815921</v>
      </c>
      <c r="U77" s="11">
        <f t="shared" si="33"/>
        <v>75353.989999999962</v>
      </c>
      <c r="V77" s="11">
        <f t="shared" si="34"/>
        <v>0.30497385822376427</v>
      </c>
      <c r="X77" s="3">
        <v>42030</v>
      </c>
      <c r="AA77">
        <v>6314.95</v>
      </c>
      <c r="AB77">
        <v>6314.95</v>
      </c>
      <c r="AE77">
        <v>6314.95</v>
      </c>
      <c r="AH77">
        <v>95535.57</v>
      </c>
      <c r="AI77">
        <v>95535.57</v>
      </c>
      <c r="AL77">
        <v>47243.199999999997</v>
      </c>
      <c r="AM77">
        <v>47243.199999999997</v>
      </c>
      <c r="AP77">
        <v>18555.189999999999</v>
      </c>
      <c r="AQ77">
        <v>18555.189999999999</v>
      </c>
      <c r="AW77">
        <v>10396.73</v>
      </c>
      <c r="AX77">
        <v>10396.73</v>
      </c>
      <c r="AY77">
        <v>171730.69000000003</v>
      </c>
      <c r="BB77">
        <v>5324.1</v>
      </c>
      <c r="BC77">
        <v>5324.1</v>
      </c>
      <c r="BG77">
        <v>5324.1</v>
      </c>
      <c r="BT77">
        <v>-1.24</v>
      </c>
      <c r="BU77">
        <v>-1.24</v>
      </c>
      <c r="BV77">
        <v>-1.24</v>
      </c>
      <c r="BW77">
        <v>247083.44</v>
      </c>
      <c r="BX77" s="1">
        <v>6314.95</v>
      </c>
      <c r="BY77" s="1">
        <v>5324.1</v>
      </c>
    </row>
    <row r="78" spans="4:77">
      <c r="D78" s="3">
        <v>42037</v>
      </c>
      <c r="E78" s="11">
        <f t="shared" si="23"/>
        <v>232965.63</v>
      </c>
      <c r="F78" s="4">
        <f t="shared" si="24"/>
        <v>160896.79</v>
      </c>
      <c r="G78" s="4">
        <f t="shared" si="25"/>
        <v>0.69064604079151082</v>
      </c>
      <c r="H78" s="4">
        <f t="shared" ref="H78:H110" si="37">AB78-Z78-Y78-BX78</f>
        <v>5314.43</v>
      </c>
      <c r="I78" s="4">
        <f t="shared" ref="I78:I110" si="38">BC78-BA78-AZ78-BY78</f>
        <v>4333.8</v>
      </c>
      <c r="J78" s="4">
        <f t="shared" si="26"/>
        <v>9648.23</v>
      </c>
      <c r="K78" s="4">
        <f t="shared" si="27"/>
        <v>326.60000000000002</v>
      </c>
      <c r="L78" s="4">
        <f t="shared" si="28"/>
        <v>9974.83</v>
      </c>
      <c r="M78" s="4">
        <f t="shared" si="29"/>
        <v>4.2816745113860785E-2</v>
      </c>
      <c r="N78" s="4">
        <f t="shared" si="30"/>
        <v>545.55000000000007</v>
      </c>
      <c r="O78" s="4">
        <f t="shared" si="31"/>
        <v>2.3417617439963141E-3</v>
      </c>
      <c r="P78" s="4">
        <f t="shared" si="32"/>
        <v>161442.34</v>
      </c>
      <c r="Q78" s="4">
        <f t="shared" si="22"/>
        <v>0.69298780253550707</v>
      </c>
      <c r="R78" s="4">
        <v>72</v>
      </c>
      <c r="S78" s="4">
        <f t="shared" si="36"/>
        <v>155724.17938371361</v>
      </c>
      <c r="T78" s="4">
        <f t="shared" si="35"/>
        <v>0.66844272000000005</v>
      </c>
      <c r="U78" s="11">
        <f t="shared" si="33"/>
        <v>61548.460000000021</v>
      </c>
      <c r="V78" s="11">
        <f t="shared" si="34"/>
        <v>0.26419545235063224</v>
      </c>
      <c r="X78" s="3">
        <v>42037</v>
      </c>
      <c r="AA78">
        <v>5314.43</v>
      </c>
      <c r="AB78">
        <v>5314.43</v>
      </c>
      <c r="AC78">
        <v>167.56</v>
      </c>
      <c r="AD78">
        <v>167.56</v>
      </c>
      <c r="AE78">
        <v>5481.9900000000007</v>
      </c>
      <c r="AH78">
        <v>83398.89</v>
      </c>
      <c r="AI78">
        <v>83398.89</v>
      </c>
      <c r="AL78">
        <v>47433.53</v>
      </c>
      <c r="AM78">
        <v>47433.53</v>
      </c>
      <c r="AP78">
        <v>19297.45</v>
      </c>
      <c r="AQ78">
        <v>19297.45</v>
      </c>
      <c r="AW78">
        <v>10766.92</v>
      </c>
      <c r="AX78">
        <v>10766.92</v>
      </c>
      <c r="AY78">
        <v>160896.79</v>
      </c>
      <c r="BB78">
        <v>4333.8</v>
      </c>
      <c r="BC78">
        <v>4333.8</v>
      </c>
      <c r="BE78">
        <v>159.04</v>
      </c>
      <c r="BF78">
        <v>159.04</v>
      </c>
      <c r="BG78">
        <v>4492.84</v>
      </c>
      <c r="BH78">
        <v>64</v>
      </c>
      <c r="BI78">
        <v>64</v>
      </c>
      <c r="BK78">
        <v>124.61</v>
      </c>
      <c r="BL78">
        <v>124.61</v>
      </c>
      <c r="BM78">
        <v>188.61</v>
      </c>
      <c r="BN78">
        <v>63</v>
      </c>
      <c r="BO78">
        <v>63</v>
      </c>
      <c r="BP78">
        <v>117.86</v>
      </c>
      <c r="BQ78">
        <v>117.86</v>
      </c>
      <c r="BR78">
        <v>180.86</v>
      </c>
      <c r="BT78">
        <v>176.08</v>
      </c>
      <c r="BU78">
        <v>176.08</v>
      </c>
      <c r="BV78">
        <v>176.08</v>
      </c>
      <c r="BW78">
        <v>232965.63</v>
      </c>
      <c r="BX78" s="1"/>
      <c r="BY78" s="1"/>
    </row>
    <row r="79" spans="4:77">
      <c r="D79" s="3">
        <v>42044</v>
      </c>
      <c r="E79" s="11">
        <f t="shared" si="23"/>
        <v>264433.03999999998</v>
      </c>
      <c r="F79" s="4">
        <f t="shared" si="24"/>
        <v>160824.12999999998</v>
      </c>
      <c r="G79" s="4">
        <f t="shared" si="25"/>
        <v>0.60818470339409925</v>
      </c>
      <c r="H79" s="4">
        <f t="shared" si="37"/>
        <v>4671.5</v>
      </c>
      <c r="I79" s="4">
        <f t="shared" si="38"/>
        <v>3461.29</v>
      </c>
      <c r="J79" s="4">
        <f t="shared" si="26"/>
        <v>8132.79</v>
      </c>
      <c r="K79" s="4">
        <f t="shared" si="27"/>
        <v>11403.439999999999</v>
      </c>
      <c r="L79" s="4">
        <f t="shared" si="28"/>
        <v>19536.23</v>
      </c>
      <c r="M79" s="4">
        <f t="shared" si="29"/>
        <v>7.3879686139069464E-2</v>
      </c>
      <c r="N79" s="4">
        <f t="shared" si="30"/>
        <v>24448.32</v>
      </c>
      <c r="O79" s="4">
        <f t="shared" si="31"/>
        <v>9.2455617497722686E-2</v>
      </c>
      <c r="P79" s="4">
        <f t="shared" si="32"/>
        <v>185272.44999999998</v>
      </c>
      <c r="Q79" s="4">
        <f t="shared" si="22"/>
        <v>0.70064032089182193</v>
      </c>
      <c r="R79" s="4">
        <v>73</v>
      </c>
      <c r="S79" s="4">
        <f t="shared" si="36"/>
        <v>176833.30992663917</v>
      </c>
      <c r="T79" s="4">
        <f t="shared" si="35"/>
        <v>0.66872622999999998</v>
      </c>
      <c r="U79" s="11">
        <f t="shared" si="33"/>
        <v>59624.359999999986</v>
      </c>
      <c r="V79" s="11">
        <f t="shared" si="34"/>
        <v>0.22547999296910851</v>
      </c>
      <c r="X79" s="3">
        <v>42044</v>
      </c>
      <c r="AA79">
        <v>4671.5</v>
      </c>
      <c r="AB79">
        <v>4671.5</v>
      </c>
      <c r="AC79">
        <v>5780.15</v>
      </c>
      <c r="AD79">
        <v>5780.15</v>
      </c>
      <c r="AE79">
        <v>10451.65</v>
      </c>
      <c r="AH79">
        <v>81523.990000000005</v>
      </c>
      <c r="AI79">
        <v>81523.990000000005</v>
      </c>
      <c r="AL79">
        <v>48720.38</v>
      </c>
      <c r="AM79">
        <v>48720.38</v>
      </c>
      <c r="AP79">
        <v>19248.490000000002</v>
      </c>
      <c r="AQ79">
        <v>19248.490000000002</v>
      </c>
      <c r="AW79">
        <v>11331.27</v>
      </c>
      <c r="AX79">
        <v>11331.27</v>
      </c>
      <c r="AY79">
        <v>160824.12999999998</v>
      </c>
      <c r="BB79">
        <v>3461.29</v>
      </c>
      <c r="BC79">
        <v>3461.29</v>
      </c>
      <c r="BE79">
        <v>5623.29</v>
      </c>
      <c r="BF79">
        <v>5623.29</v>
      </c>
      <c r="BG79">
        <v>9084.58</v>
      </c>
      <c r="BH79">
        <v>3355</v>
      </c>
      <c r="BI79">
        <v>3355</v>
      </c>
      <c r="BK79">
        <v>7968.68</v>
      </c>
      <c r="BL79">
        <v>7968.68</v>
      </c>
      <c r="BM79">
        <v>11323.68</v>
      </c>
      <c r="BN79">
        <v>2844.83</v>
      </c>
      <c r="BO79">
        <v>2844.83</v>
      </c>
      <c r="BP79">
        <v>5386.21</v>
      </c>
      <c r="BQ79">
        <v>5386.21</v>
      </c>
      <c r="BR79">
        <v>8231.0400000000009</v>
      </c>
      <c r="BT79">
        <v>4893.6000000000004</v>
      </c>
      <c r="BU79">
        <v>4893.6000000000004</v>
      </c>
      <c r="BV79">
        <v>4893.6000000000004</v>
      </c>
      <c r="BW79">
        <v>264433.03999999998</v>
      </c>
      <c r="BX79" s="1"/>
      <c r="BY79" s="1"/>
    </row>
    <row r="80" spans="4:77">
      <c r="D80" s="3">
        <v>42051</v>
      </c>
      <c r="E80" s="11">
        <f t="shared" si="23"/>
        <v>376327.65</v>
      </c>
      <c r="F80" s="4">
        <f t="shared" si="24"/>
        <v>134107.94999999998</v>
      </c>
      <c r="G80" s="4">
        <f t="shared" si="25"/>
        <v>0.35635954466805714</v>
      </c>
      <c r="H80" s="4">
        <f t="shared" si="37"/>
        <v>3394.05</v>
      </c>
      <c r="I80" s="4">
        <f t="shared" si="38"/>
        <v>2307.37</v>
      </c>
      <c r="J80" s="4">
        <f t="shared" si="26"/>
        <v>5701.42</v>
      </c>
      <c r="K80" s="4">
        <f t="shared" si="27"/>
        <v>61876.53</v>
      </c>
      <c r="L80" s="4">
        <f t="shared" si="28"/>
        <v>67577.95</v>
      </c>
      <c r="M80" s="4">
        <f t="shared" si="29"/>
        <v>0.17957210956994521</v>
      </c>
      <c r="N80" s="4">
        <f t="shared" si="30"/>
        <v>123734.38</v>
      </c>
      <c r="O80" s="4">
        <f t="shared" si="31"/>
        <v>0.32879428338576766</v>
      </c>
      <c r="P80" s="4">
        <f t="shared" si="32"/>
        <v>257842.33</v>
      </c>
      <c r="Q80" s="4">
        <f t="shared" si="22"/>
        <v>0.68515382805382485</v>
      </c>
      <c r="R80" s="4">
        <v>74</v>
      </c>
      <c r="S80" s="4">
        <f t="shared" si="36"/>
        <v>251766.86328131103</v>
      </c>
      <c r="T80" s="4">
        <f t="shared" si="35"/>
        <v>0.66900974000000002</v>
      </c>
      <c r="U80" s="11">
        <f t="shared" si="33"/>
        <v>50907.370000000054</v>
      </c>
      <c r="V80" s="11">
        <f t="shared" si="34"/>
        <v>0.13527406237622999</v>
      </c>
      <c r="X80" s="3">
        <v>42051</v>
      </c>
      <c r="AA80">
        <v>3394.05</v>
      </c>
      <c r="AB80">
        <v>3394.05</v>
      </c>
      <c r="AC80">
        <v>31360.94</v>
      </c>
      <c r="AD80">
        <v>31360.94</v>
      </c>
      <c r="AE80">
        <v>34754.99</v>
      </c>
      <c r="AH80">
        <v>68486.12</v>
      </c>
      <c r="AI80">
        <v>68486.12</v>
      </c>
      <c r="AL80">
        <v>39580.67</v>
      </c>
      <c r="AM80">
        <v>39580.67</v>
      </c>
      <c r="AP80">
        <v>16377.37</v>
      </c>
      <c r="AQ80">
        <v>16377.37</v>
      </c>
      <c r="AW80">
        <v>9663.7900000000009</v>
      </c>
      <c r="AX80">
        <v>9663.7900000000009</v>
      </c>
      <c r="AY80">
        <v>134107.94999999998</v>
      </c>
      <c r="BB80">
        <v>2307.37</v>
      </c>
      <c r="BC80">
        <v>2307.37</v>
      </c>
      <c r="BE80">
        <v>30515.59</v>
      </c>
      <c r="BF80">
        <v>30515.59</v>
      </c>
      <c r="BG80">
        <v>32822.959999999999</v>
      </c>
      <c r="BH80">
        <v>13498.78</v>
      </c>
      <c r="BI80">
        <v>13498.78</v>
      </c>
      <c r="BK80">
        <v>38869.019999999997</v>
      </c>
      <c r="BL80">
        <v>38869.019999999997</v>
      </c>
      <c r="BM80">
        <v>52367.799999999996</v>
      </c>
      <c r="BN80">
        <v>11141.62</v>
      </c>
      <c r="BO80">
        <v>11141.62</v>
      </c>
      <c r="BP80">
        <v>30396.97</v>
      </c>
      <c r="BQ80">
        <v>30396.97</v>
      </c>
      <c r="BR80">
        <v>41538.590000000004</v>
      </c>
      <c r="BT80">
        <v>29827.99</v>
      </c>
      <c r="BU80">
        <v>29827.99</v>
      </c>
      <c r="BV80">
        <v>29827.99</v>
      </c>
      <c r="BW80">
        <v>376327.65</v>
      </c>
      <c r="BX80" s="1"/>
      <c r="BY80" s="1"/>
    </row>
    <row r="81" spans="4:77">
      <c r="D81" s="3">
        <v>42058</v>
      </c>
      <c r="E81" s="11">
        <f t="shared" si="23"/>
        <v>300791.61999999994</v>
      </c>
      <c r="F81" s="4">
        <f t="shared" si="24"/>
        <v>150985.75</v>
      </c>
      <c r="G81" s="4">
        <f t="shared" si="25"/>
        <v>0.50196129134182677</v>
      </c>
      <c r="H81" s="4">
        <f t="shared" si="37"/>
        <v>3428.13</v>
      </c>
      <c r="I81" s="4">
        <f t="shared" si="38"/>
        <v>2534.64</v>
      </c>
      <c r="J81" s="4">
        <f t="shared" si="26"/>
        <v>5962.77</v>
      </c>
      <c r="K81" s="4">
        <f t="shared" si="27"/>
        <v>28469.370000000003</v>
      </c>
      <c r="L81" s="4">
        <f t="shared" si="28"/>
        <v>34432.14</v>
      </c>
      <c r="M81" s="4">
        <f t="shared" si="29"/>
        <v>0.11447173960497971</v>
      </c>
      <c r="N81" s="4">
        <f t="shared" si="30"/>
        <v>59672.160000000003</v>
      </c>
      <c r="O81" s="4">
        <f t="shared" si="31"/>
        <v>0.19838371826981088</v>
      </c>
      <c r="P81" s="4">
        <f t="shared" si="32"/>
        <v>210657.91</v>
      </c>
      <c r="Q81" s="4">
        <f t="shared" si="22"/>
        <v>0.70034500961163759</v>
      </c>
      <c r="R81" s="4">
        <v>75</v>
      </c>
      <c r="S81" s="4">
        <f t="shared" si="36"/>
        <v>201317.80092256493</v>
      </c>
      <c r="T81" s="4">
        <f t="shared" si="35"/>
        <v>0.66929324999999995</v>
      </c>
      <c r="U81" s="11">
        <f t="shared" si="33"/>
        <v>55701.56999999992</v>
      </c>
      <c r="V81" s="11">
        <f t="shared" si="34"/>
        <v>0.18518325078338263</v>
      </c>
      <c r="X81" s="3">
        <v>42058</v>
      </c>
      <c r="AA81">
        <v>3428.13</v>
      </c>
      <c r="AB81">
        <v>3428.13</v>
      </c>
      <c r="AC81">
        <v>14939.92</v>
      </c>
      <c r="AD81">
        <v>14939.92</v>
      </c>
      <c r="AE81">
        <v>18368.05</v>
      </c>
      <c r="AH81">
        <v>78212.179999999993</v>
      </c>
      <c r="AI81">
        <v>78212.179999999993</v>
      </c>
      <c r="AL81">
        <v>44992.22</v>
      </c>
      <c r="AM81">
        <v>44992.22</v>
      </c>
      <c r="AP81">
        <v>17140.03</v>
      </c>
      <c r="AQ81">
        <v>17140.03</v>
      </c>
      <c r="AW81">
        <v>10641.32</v>
      </c>
      <c r="AX81">
        <v>10641.32</v>
      </c>
      <c r="AY81">
        <v>150985.75</v>
      </c>
      <c r="BB81">
        <v>2534.64</v>
      </c>
      <c r="BC81">
        <v>2534.64</v>
      </c>
      <c r="BE81">
        <v>13529.45</v>
      </c>
      <c r="BF81">
        <v>13529.45</v>
      </c>
      <c r="BG81">
        <v>16064.09</v>
      </c>
      <c r="BH81">
        <v>7400.16</v>
      </c>
      <c r="BI81">
        <v>7400.16</v>
      </c>
      <c r="BK81">
        <v>20809.939999999999</v>
      </c>
      <c r="BL81">
        <v>20809.939999999999</v>
      </c>
      <c r="BM81">
        <v>28210.1</v>
      </c>
      <c r="BN81">
        <v>5496.8</v>
      </c>
      <c r="BO81">
        <v>5496.8</v>
      </c>
      <c r="BP81">
        <v>13248.35</v>
      </c>
      <c r="BQ81">
        <v>13248.35</v>
      </c>
      <c r="BR81">
        <v>18745.150000000001</v>
      </c>
      <c r="BT81">
        <v>12716.91</v>
      </c>
      <c r="BU81">
        <v>12716.91</v>
      </c>
      <c r="BV81">
        <v>12716.91</v>
      </c>
      <c r="BW81">
        <v>300791.61999999994</v>
      </c>
      <c r="BX81" s="1"/>
      <c r="BY81" s="1"/>
    </row>
    <row r="82" spans="4:77">
      <c r="D82" s="3">
        <v>42065</v>
      </c>
      <c r="E82" s="11">
        <f t="shared" si="23"/>
        <v>284267.28000000003</v>
      </c>
      <c r="F82" s="4">
        <f t="shared" si="24"/>
        <v>157795.95000000001</v>
      </c>
      <c r="G82" s="4">
        <f t="shared" si="25"/>
        <v>0.55509712549400692</v>
      </c>
      <c r="H82" s="4">
        <f t="shared" si="37"/>
        <v>3316.14</v>
      </c>
      <c r="I82" s="4">
        <f t="shared" si="38"/>
        <v>2730.93</v>
      </c>
      <c r="J82" s="4">
        <f t="shared" si="26"/>
        <v>6047.07</v>
      </c>
      <c r="K82" s="4">
        <f t="shared" si="27"/>
        <v>20717.07</v>
      </c>
      <c r="L82" s="4">
        <f t="shared" si="28"/>
        <v>26764.14</v>
      </c>
      <c r="M82" s="4">
        <f t="shared" si="29"/>
        <v>9.4151321249494477E-2</v>
      </c>
      <c r="N82" s="4">
        <f t="shared" si="30"/>
        <v>39578.9</v>
      </c>
      <c r="O82" s="4">
        <f t="shared" si="31"/>
        <v>0.1392312896510636</v>
      </c>
      <c r="P82" s="4">
        <f t="shared" si="32"/>
        <v>197374.85</v>
      </c>
      <c r="Q82" s="4">
        <f t="shared" si="22"/>
        <v>0.69432841514507049</v>
      </c>
      <c r="R82" s="4">
        <v>76</v>
      </c>
      <c r="S82" s="4">
        <f t="shared" si="36"/>
        <v>190338.76431641282</v>
      </c>
      <c r="T82" s="4">
        <f t="shared" si="35"/>
        <v>0.66957675999999999</v>
      </c>
      <c r="U82" s="11">
        <f t="shared" si="33"/>
        <v>60128.290000000008</v>
      </c>
      <c r="V82" s="11">
        <f t="shared" si="34"/>
        <v>0.21152026360543499</v>
      </c>
      <c r="X82" s="3">
        <v>42065</v>
      </c>
      <c r="AA82">
        <v>3316.14</v>
      </c>
      <c r="AB82">
        <v>3316.14</v>
      </c>
      <c r="AC82">
        <v>11194.66</v>
      </c>
      <c r="AD82">
        <v>11194.66</v>
      </c>
      <c r="AE82">
        <v>14510.8</v>
      </c>
      <c r="AH82">
        <v>78623.8</v>
      </c>
      <c r="AI82">
        <v>78623.8</v>
      </c>
      <c r="AL82">
        <v>48974.38</v>
      </c>
      <c r="AM82">
        <v>48974.38</v>
      </c>
      <c r="AP82">
        <v>18459.45</v>
      </c>
      <c r="AQ82">
        <v>18459.45</v>
      </c>
      <c r="AW82">
        <v>11738.32</v>
      </c>
      <c r="AX82">
        <v>11738.32</v>
      </c>
      <c r="AY82">
        <v>157795.95000000001</v>
      </c>
      <c r="BB82">
        <v>2730.93</v>
      </c>
      <c r="BC82">
        <v>2730.93</v>
      </c>
      <c r="BE82">
        <v>9522.41</v>
      </c>
      <c r="BF82">
        <v>9522.41</v>
      </c>
      <c r="BG82">
        <v>12253.34</v>
      </c>
      <c r="BH82">
        <v>4688.6499999999996</v>
      </c>
      <c r="BI82">
        <v>4688.6499999999996</v>
      </c>
      <c r="BK82">
        <v>16081.82</v>
      </c>
      <c r="BL82">
        <v>16081.82</v>
      </c>
      <c r="BM82">
        <v>20770.47</v>
      </c>
      <c r="BN82">
        <v>3056</v>
      </c>
      <c r="BO82">
        <v>3056</v>
      </c>
      <c r="BP82">
        <v>7904.01</v>
      </c>
      <c r="BQ82">
        <v>7904.01</v>
      </c>
      <c r="BR82">
        <v>10960.01</v>
      </c>
      <c r="BT82">
        <v>7848.42</v>
      </c>
      <c r="BU82">
        <v>7848.42</v>
      </c>
      <c r="BV82">
        <v>7848.42</v>
      </c>
      <c r="BW82">
        <v>284267.28000000003</v>
      </c>
      <c r="BX82" s="1"/>
      <c r="BY82" s="1"/>
    </row>
    <row r="83" spans="4:77">
      <c r="D83" s="3">
        <v>42072</v>
      </c>
      <c r="E83" s="11">
        <f t="shared" si="23"/>
        <v>329723.69999999995</v>
      </c>
      <c r="F83" s="4">
        <f t="shared" si="24"/>
        <v>188064.65</v>
      </c>
      <c r="G83" s="4">
        <f t="shared" si="25"/>
        <v>0.57037043439704216</v>
      </c>
      <c r="H83" s="4">
        <f t="shared" si="37"/>
        <v>4104.5</v>
      </c>
      <c r="I83" s="4">
        <f t="shared" si="38"/>
        <v>3347.27</v>
      </c>
      <c r="J83" s="4">
        <f t="shared" si="26"/>
        <v>7451.77</v>
      </c>
      <c r="K83" s="4">
        <f t="shared" si="27"/>
        <v>22654.28</v>
      </c>
      <c r="L83" s="4">
        <f t="shared" si="28"/>
        <v>30106.05</v>
      </c>
      <c r="M83" s="4">
        <f t="shared" si="29"/>
        <v>9.1306903325420657E-2</v>
      </c>
      <c r="N83" s="4">
        <f t="shared" si="30"/>
        <v>42712.340000000004</v>
      </c>
      <c r="O83" s="4">
        <f t="shared" si="31"/>
        <v>0.12953979346950192</v>
      </c>
      <c r="P83" s="4">
        <f t="shared" si="32"/>
        <v>230776.99</v>
      </c>
      <c r="Q83" s="4">
        <f t="shared" si="22"/>
        <v>0.69991022786654411</v>
      </c>
      <c r="R83" s="4">
        <v>77</v>
      </c>
      <c r="S83" s="4">
        <f t="shared" si="36"/>
        <v>220868.80670739897</v>
      </c>
      <c r="T83" s="4">
        <f t="shared" si="35"/>
        <v>0.66986027000000004</v>
      </c>
      <c r="U83" s="11">
        <f t="shared" si="33"/>
        <v>68840.659999999974</v>
      </c>
      <c r="V83" s="11">
        <f t="shared" si="34"/>
        <v>0.20878286880803529</v>
      </c>
      <c r="X83" s="3">
        <v>42072</v>
      </c>
      <c r="AA83">
        <v>4104.5</v>
      </c>
      <c r="AB83">
        <v>4104.5</v>
      </c>
      <c r="AC83">
        <v>12324.68</v>
      </c>
      <c r="AD83">
        <v>12324.68</v>
      </c>
      <c r="AE83">
        <v>16429.18</v>
      </c>
      <c r="AH83">
        <v>95225.86</v>
      </c>
      <c r="AI83">
        <v>95225.86</v>
      </c>
      <c r="AL83">
        <v>59585.27</v>
      </c>
      <c r="AM83">
        <v>59585.27</v>
      </c>
      <c r="AP83">
        <v>20197.419999999998</v>
      </c>
      <c r="AQ83">
        <v>20197.419999999998</v>
      </c>
      <c r="AW83">
        <v>13056.1</v>
      </c>
      <c r="AX83">
        <v>13056.1</v>
      </c>
      <c r="AY83">
        <v>188064.65</v>
      </c>
      <c r="BB83">
        <v>3347.27</v>
      </c>
      <c r="BC83">
        <v>3347.27</v>
      </c>
      <c r="BE83">
        <v>10329.6</v>
      </c>
      <c r="BF83">
        <v>10329.6</v>
      </c>
      <c r="BG83">
        <v>13676.87</v>
      </c>
      <c r="BH83">
        <v>5227.5</v>
      </c>
      <c r="BI83">
        <v>5227.5</v>
      </c>
      <c r="BK83">
        <v>17598.87</v>
      </c>
      <c r="BL83">
        <v>17598.87</v>
      </c>
      <c r="BM83">
        <v>22826.37</v>
      </c>
      <c r="BN83">
        <v>3139.4</v>
      </c>
      <c r="BO83">
        <v>3139.4</v>
      </c>
      <c r="BP83">
        <v>8361.17</v>
      </c>
      <c r="BQ83">
        <v>8361.17</v>
      </c>
      <c r="BR83">
        <v>11500.57</v>
      </c>
      <c r="BT83">
        <v>8385.4</v>
      </c>
      <c r="BU83">
        <v>8385.4</v>
      </c>
      <c r="BV83">
        <v>8385.4</v>
      </c>
      <c r="BW83">
        <v>329723.69999999995</v>
      </c>
      <c r="BX83" s="1"/>
      <c r="BY83" s="1"/>
    </row>
    <row r="84" spans="4:77">
      <c r="D84" s="3">
        <v>42079</v>
      </c>
      <c r="E84" s="11">
        <f t="shared" si="23"/>
        <v>303337.80999999988</v>
      </c>
      <c r="F84" s="4">
        <f t="shared" si="24"/>
        <v>176247.91999999998</v>
      </c>
      <c r="G84" s="4">
        <f t="shared" si="25"/>
        <v>0.58102852394167426</v>
      </c>
      <c r="H84" s="4">
        <f t="shared" si="37"/>
        <v>3592.47</v>
      </c>
      <c r="I84" s="4">
        <f t="shared" si="38"/>
        <v>2872.35</v>
      </c>
      <c r="J84" s="4">
        <f t="shared" si="26"/>
        <v>6464.82</v>
      </c>
      <c r="K84" s="4">
        <f t="shared" si="27"/>
        <v>19796.16</v>
      </c>
      <c r="L84" s="4">
        <f t="shared" si="28"/>
        <v>26260.98</v>
      </c>
      <c r="M84" s="4">
        <f t="shared" si="29"/>
        <v>8.6573381669762861E-2</v>
      </c>
      <c r="N84" s="4">
        <f t="shared" si="30"/>
        <v>34236.57</v>
      </c>
      <c r="O84" s="4">
        <f t="shared" si="31"/>
        <v>0.11286614748092239</v>
      </c>
      <c r="P84" s="4">
        <f t="shared" si="32"/>
        <v>210484.49</v>
      </c>
      <c r="Q84" s="4">
        <f t="shared" si="22"/>
        <v>0.69389467142259675</v>
      </c>
      <c r="R84" s="4">
        <v>78</v>
      </c>
      <c r="S84" s="4">
        <f t="shared" si="36"/>
        <v>203279.9466103217</v>
      </c>
      <c r="T84" s="4">
        <f t="shared" si="35"/>
        <v>0.67014377999999997</v>
      </c>
      <c r="U84" s="11">
        <f t="shared" si="33"/>
        <v>66592.33999999988</v>
      </c>
      <c r="V84" s="11">
        <f t="shared" si="34"/>
        <v>0.21953194690764039</v>
      </c>
      <c r="X84" s="3">
        <v>42079</v>
      </c>
      <c r="AA84">
        <v>3592.47</v>
      </c>
      <c r="AB84">
        <v>3592.47</v>
      </c>
      <c r="AC84">
        <v>11118.83</v>
      </c>
      <c r="AD84">
        <v>11118.83</v>
      </c>
      <c r="AE84">
        <v>14711.3</v>
      </c>
      <c r="AH84">
        <v>86587.73</v>
      </c>
      <c r="AI84">
        <v>86587.73</v>
      </c>
      <c r="AL84">
        <v>56403.08</v>
      </c>
      <c r="AM84">
        <v>56403.08</v>
      </c>
      <c r="AP84">
        <v>20389.53</v>
      </c>
      <c r="AQ84">
        <v>20389.53</v>
      </c>
      <c r="AW84">
        <v>12867.58</v>
      </c>
      <c r="AX84">
        <v>12867.58</v>
      </c>
      <c r="AY84">
        <v>176247.91999999998</v>
      </c>
      <c r="BB84">
        <v>2872.35</v>
      </c>
      <c r="BC84">
        <v>2872.35</v>
      </c>
      <c r="BE84">
        <v>8677.33</v>
      </c>
      <c r="BF84">
        <v>8677.33</v>
      </c>
      <c r="BG84">
        <v>11549.68</v>
      </c>
      <c r="BH84">
        <v>4221.55</v>
      </c>
      <c r="BI84">
        <v>4221.55</v>
      </c>
      <c r="BK84">
        <v>15210.73</v>
      </c>
      <c r="BL84">
        <v>15210.73</v>
      </c>
      <c r="BM84">
        <v>19432.28</v>
      </c>
      <c r="BN84">
        <v>2271.5</v>
      </c>
      <c r="BO84">
        <v>2271.5</v>
      </c>
      <c r="BP84">
        <v>6223.18</v>
      </c>
      <c r="BQ84">
        <v>6223.18</v>
      </c>
      <c r="BR84">
        <v>8494.68</v>
      </c>
      <c r="BT84">
        <v>6309.61</v>
      </c>
      <c r="BU84">
        <v>6309.61</v>
      </c>
      <c r="BV84">
        <v>6309.61</v>
      </c>
      <c r="BW84">
        <v>303337.80999999988</v>
      </c>
      <c r="BX84" s="1"/>
      <c r="BY84" s="1"/>
    </row>
    <row r="85" spans="4:77">
      <c r="D85" s="3">
        <v>42086</v>
      </c>
      <c r="E85" s="11">
        <f t="shared" si="23"/>
        <v>293620.74</v>
      </c>
      <c r="F85" s="4">
        <f t="shared" si="24"/>
        <v>175182.31</v>
      </c>
      <c r="G85" s="4">
        <f t="shared" si="25"/>
        <v>0.59662784720180195</v>
      </c>
      <c r="H85" s="4">
        <f t="shared" si="37"/>
        <v>3429.48</v>
      </c>
      <c r="I85" s="4">
        <f t="shared" si="38"/>
        <v>2732.9</v>
      </c>
      <c r="J85" s="4">
        <f t="shared" si="26"/>
        <v>6162.38</v>
      </c>
      <c r="K85" s="4">
        <f t="shared" si="27"/>
        <v>17789.379999999997</v>
      </c>
      <c r="L85" s="4">
        <f t="shared" si="28"/>
        <v>23951.759999999998</v>
      </c>
      <c r="M85" s="4">
        <f t="shared" si="29"/>
        <v>8.1573801632677578E-2</v>
      </c>
      <c r="N85" s="4">
        <f t="shared" si="30"/>
        <v>28969.49</v>
      </c>
      <c r="O85" s="4">
        <f t="shared" si="31"/>
        <v>9.8662955484684095E-2</v>
      </c>
      <c r="P85" s="4">
        <f t="shared" si="32"/>
        <v>204151.8</v>
      </c>
      <c r="Q85" s="4">
        <f t="shared" si="22"/>
        <v>0.69529080268648591</v>
      </c>
      <c r="R85" s="4">
        <v>79</v>
      </c>
      <c r="S85" s="4">
        <f t="shared" si="36"/>
        <v>196851.35700599459</v>
      </c>
      <c r="T85" s="4">
        <f t="shared" si="35"/>
        <v>0.67042729000000001</v>
      </c>
      <c r="U85" s="11">
        <f t="shared" si="33"/>
        <v>65517.179999999993</v>
      </c>
      <c r="V85" s="11">
        <f t="shared" si="34"/>
        <v>0.22313539568083643</v>
      </c>
      <c r="X85" s="3">
        <v>42086</v>
      </c>
      <c r="AA85">
        <v>3429.48</v>
      </c>
      <c r="AB85">
        <v>3429.48</v>
      </c>
      <c r="AC85">
        <v>9961.81</v>
      </c>
      <c r="AD85">
        <v>9961.81</v>
      </c>
      <c r="AE85">
        <v>13391.289999999999</v>
      </c>
      <c r="AH85">
        <v>88828.31</v>
      </c>
      <c r="AI85">
        <v>88828.31</v>
      </c>
      <c r="AL85">
        <v>54323.44</v>
      </c>
      <c r="AM85">
        <v>54323.44</v>
      </c>
      <c r="AP85">
        <v>19475.79</v>
      </c>
      <c r="AQ85">
        <v>19475.79</v>
      </c>
      <c r="AW85">
        <v>12554.77</v>
      </c>
      <c r="AX85">
        <v>12554.77</v>
      </c>
      <c r="AY85">
        <v>175182.31</v>
      </c>
      <c r="BB85">
        <v>2732.9</v>
      </c>
      <c r="BC85">
        <v>2732.9</v>
      </c>
      <c r="BE85">
        <v>7827.57</v>
      </c>
      <c r="BF85">
        <v>7827.57</v>
      </c>
      <c r="BG85">
        <v>10560.47</v>
      </c>
      <c r="BH85">
        <v>3490.81</v>
      </c>
      <c r="BI85">
        <v>3490.81</v>
      </c>
      <c r="BK85">
        <v>13463.11</v>
      </c>
      <c r="BL85">
        <v>13463.11</v>
      </c>
      <c r="BM85">
        <v>16953.920000000002</v>
      </c>
      <c r="BN85">
        <v>1737.64</v>
      </c>
      <c r="BO85">
        <v>1737.64</v>
      </c>
      <c r="BP85">
        <v>5068.07</v>
      </c>
      <c r="BQ85">
        <v>5068.07</v>
      </c>
      <c r="BR85">
        <v>6805.71</v>
      </c>
      <c r="BT85">
        <v>5209.8599999999997</v>
      </c>
      <c r="BU85">
        <v>5209.8599999999997</v>
      </c>
      <c r="BV85">
        <v>5209.8599999999997</v>
      </c>
      <c r="BW85">
        <v>293620.74</v>
      </c>
      <c r="BX85" s="1"/>
      <c r="BY85" s="1"/>
    </row>
    <row r="86" spans="4:77">
      <c r="D86" s="3">
        <v>42093</v>
      </c>
      <c r="E86" s="11">
        <f t="shared" si="23"/>
        <v>290131.11</v>
      </c>
      <c r="F86" s="4">
        <f t="shared" si="24"/>
        <v>171304.91999999998</v>
      </c>
      <c r="G86" s="4">
        <f t="shared" si="25"/>
        <v>0.59043968087393317</v>
      </c>
      <c r="H86" s="4">
        <f t="shared" si="37"/>
        <v>3425.41</v>
      </c>
      <c r="I86" s="4">
        <f t="shared" si="38"/>
        <v>2798.05</v>
      </c>
      <c r="J86" s="4">
        <f t="shared" si="26"/>
        <v>6223.46</v>
      </c>
      <c r="K86" s="4">
        <f t="shared" si="27"/>
        <v>18763.990000000002</v>
      </c>
      <c r="L86" s="4">
        <f t="shared" si="28"/>
        <v>24987.45</v>
      </c>
      <c r="M86" s="4">
        <f t="shared" si="29"/>
        <v>8.6124683423297835E-2</v>
      </c>
      <c r="N86" s="4">
        <f t="shared" si="30"/>
        <v>28863.22</v>
      </c>
      <c r="O86" s="4">
        <f t="shared" si="31"/>
        <v>9.9483368053842974E-2</v>
      </c>
      <c r="P86" s="4">
        <f t="shared" si="32"/>
        <v>200168.13999999998</v>
      </c>
      <c r="Q86" s="4">
        <f t="shared" si="22"/>
        <v>0.68992304892777612</v>
      </c>
      <c r="R86" s="4">
        <v>80</v>
      </c>
      <c r="S86" s="4">
        <f t="shared" si="36"/>
        <v>194594.06889298797</v>
      </c>
      <c r="T86" s="4">
        <f t="shared" si="35"/>
        <v>0.67071079999999994</v>
      </c>
      <c r="U86" s="11">
        <f t="shared" si="33"/>
        <v>64975.51999999999</v>
      </c>
      <c r="V86" s="11">
        <f t="shared" si="34"/>
        <v>0.22395226764892601</v>
      </c>
      <c r="X86" s="3">
        <v>42093</v>
      </c>
      <c r="AA86">
        <v>3425.41</v>
      </c>
      <c r="AB86">
        <v>3425.41</v>
      </c>
      <c r="AC86">
        <v>10456.620000000001</v>
      </c>
      <c r="AD86">
        <v>10456.620000000001</v>
      </c>
      <c r="AE86">
        <v>13882.03</v>
      </c>
      <c r="AH86">
        <v>87558.399999999994</v>
      </c>
      <c r="AI86">
        <v>87558.399999999994</v>
      </c>
      <c r="AL86">
        <v>53148.32</v>
      </c>
      <c r="AM86">
        <v>53148.32</v>
      </c>
      <c r="AP86">
        <v>18973.310000000001</v>
      </c>
      <c r="AQ86">
        <v>18973.310000000001</v>
      </c>
      <c r="AW86">
        <v>11624.89</v>
      </c>
      <c r="AX86">
        <v>11624.89</v>
      </c>
      <c r="AY86">
        <v>171304.91999999998</v>
      </c>
      <c r="BB86">
        <v>2798.05</v>
      </c>
      <c r="BC86">
        <v>2798.05</v>
      </c>
      <c r="BE86">
        <v>8307.3700000000008</v>
      </c>
      <c r="BF86">
        <v>8307.3700000000008</v>
      </c>
      <c r="BG86">
        <v>11105.420000000002</v>
      </c>
      <c r="BH86">
        <v>3206.12</v>
      </c>
      <c r="BI86">
        <v>3206.12</v>
      </c>
      <c r="BK86">
        <v>13120.27</v>
      </c>
      <c r="BL86">
        <v>13120.27</v>
      </c>
      <c r="BM86">
        <v>16326.39</v>
      </c>
      <c r="BN86">
        <v>1599.11</v>
      </c>
      <c r="BO86">
        <v>1599.11</v>
      </c>
      <c r="BP86">
        <v>5460.14</v>
      </c>
      <c r="BQ86">
        <v>5460.14</v>
      </c>
      <c r="BR86">
        <v>7059.25</v>
      </c>
      <c r="BT86">
        <v>5477.58</v>
      </c>
      <c r="BU86">
        <v>5477.58</v>
      </c>
      <c r="BV86">
        <v>5477.58</v>
      </c>
      <c r="BW86">
        <v>290131.11</v>
      </c>
      <c r="BX86" s="1"/>
      <c r="BY86" s="1"/>
    </row>
    <row r="87" spans="4:77">
      <c r="D87" s="3">
        <v>42100</v>
      </c>
      <c r="E87" s="11">
        <f t="shared" si="23"/>
        <v>307372.85000000003</v>
      </c>
      <c r="F87" s="4">
        <f t="shared" si="24"/>
        <v>184529.96000000002</v>
      </c>
      <c r="G87" s="4">
        <f t="shared" si="25"/>
        <v>0.60034567138899875</v>
      </c>
      <c r="H87" s="4">
        <f t="shared" si="37"/>
        <v>3553.81</v>
      </c>
      <c r="I87" s="4">
        <f t="shared" si="38"/>
        <v>2984.12</v>
      </c>
      <c r="J87" s="4">
        <f t="shared" si="26"/>
        <v>6537.93</v>
      </c>
      <c r="K87" s="4">
        <f t="shared" si="27"/>
        <v>19514.77</v>
      </c>
      <c r="L87" s="4">
        <f t="shared" si="28"/>
        <v>26052.7</v>
      </c>
      <c r="M87" s="4">
        <f t="shared" si="29"/>
        <v>8.4759275258045719E-2</v>
      </c>
      <c r="N87" s="4">
        <f t="shared" si="30"/>
        <v>28285.75</v>
      </c>
      <c r="O87" s="4">
        <f t="shared" si="31"/>
        <v>9.2024230507021021E-2</v>
      </c>
      <c r="P87" s="4">
        <f t="shared" si="32"/>
        <v>212815.71000000002</v>
      </c>
      <c r="Q87" s="4">
        <f t="shared" si="22"/>
        <v>0.69236990189601977</v>
      </c>
      <c r="R87" s="4">
        <v>81</v>
      </c>
      <c r="S87" s="4">
        <f t="shared" si="36"/>
        <v>206245.43339848352</v>
      </c>
      <c r="T87" s="4">
        <f t="shared" si="35"/>
        <v>0.67099430999999998</v>
      </c>
      <c r="U87" s="11">
        <f t="shared" si="33"/>
        <v>68504.44</v>
      </c>
      <c r="V87" s="11">
        <f t="shared" si="34"/>
        <v>0.22287082284593449</v>
      </c>
      <c r="X87" s="3">
        <v>42100</v>
      </c>
      <c r="AA87">
        <v>3553.81</v>
      </c>
      <c r="AB87">
        <v>3553.81</v>
      </c>
      <c r="AC87">
        <v>10984.02</v>
      </c>
      <c r="AD87">
        <v>10984.02</v>
      </c>
      <c r="AE87">
        <v>14537.83</v>
      </c>
      <c r="AH87">
        <v>95810.78</v>
      </c>
      <c r="AI87">
        <v>95810.78</v>
      </c>
      <c r="AL87">
        <v>55990.17</v>
      </c>
      <c r="AM87">
        <v>55990.17</v>
      </c>
      <c r="AP87">
        <v>20422.189999999999</v>
      </c>
      <c r="AQ87">
        <v>20422.189999999999</v>
      </c>
      <c r="AW87">
        <v>12306.82</v>
      </c>
      <c r="AX87">
        <v>12306.82</v>
      </c>
      <c r="AY87">
        <v>184529.96000000002</v>
      </c>
      <c r="BB87">
        <v>2984.12</v>
      </c>
      <c r="BC87">
        <v>2984.12</v>
      </c>
      <c r="BE87">
        <v>8530.75</v>
      </c>
      <c r="BF87">
        <v>8530.75</v>
      </c>
      <c r="BG87">
        <v>11514.869999999999</v>
      </c>
      <c r="BH87">
        <v>3183.32</v>
      </c>
      <c r="BI87">
        <v>3183.32</v>
      </c>
      <c r="BK87">
        <v>13148</v>
      </c>
      <c r="BL87">
        <v>13148</v>
      </c>
      <c r="BM87">
        <v>16331.32</v>
      </c>
      <c r="BN87">
        <v>1556.49</v>
      </c>
      <c r="BO87">
        <v>1556.49</v>
      </c>
      <c r="BP87">
        <v>5051.29</v>
      </c>
      <c r="BQ87">
        <v>5051.29</v>
      </c>
      <c r="BR87">
        <v>6607.78</v>
      </c>
      <c r="BT87">
        <v>5346.65</v>
      </c>
      <c r="BU87">
        <v>5346.65</v>
      </c>
      <c r="BV87">
        <v>5346.65</v>
      </c>
      <c r="BW87">
        <v>307372.85000000003</v>
      </c>
      <c r="BX87" s="1"/>
      <c r="BY87" s="1"/>
    </row>
    <row r="88" spans="4:77">
      <c r="D88" s="3">
        <v>42107</v>
      </c>
      <c r="E88" s="11">
        <f t="shared" si="23"/>
        <v>300510.73</v>
      </c>
      <c r="F88" s="4">
        <f t="shared" si="24"/>
        <v>182498.02</v>
      </c>
      <c r="G88" s="4">
        <f t="shared" si="25"/>
        <v>0.6072928577292398</v>
      </c>
      <c r="H88" s="4">
        <f t="shared" si="37"/>
        <v>3413.23</v>
      </c>
      <c r="I88" s="4">
        <f t="shared" si="38"/>
        <v>2739.9</v>
      </c>
      <c r="J88" s="4">
        <f t="shared" si="26"/>
        <v>6153.13</v>
      </c>
      <c r="K88" s="4">
        <f t="shared" si="27"/>
        <v>18429.72</v>
      </c>
      <c r="L88" s="4">
        <f t="shared" si="28"/>
        <v>24582.850000000002</v>
      </c>
      <c r="M88" s="4">
        <f t="shared" si="29"/>
        <v>8.1803568212023586E-2</v>
      </c>
      <c r="N88" s="4">
        <f t="shared" si="30"/>
        <v>25715.649999999998</v>
      </c>
      <c r="O88" s="4">
        <f t="shared" si="31"/>
        <v>8.5573150749059773E-2</v>
      </c>
      <c r="P88" s="4">
        <f t="shared" si="32"/>
        <v>208213.66999999998</v>
      </c>
      <c r="Q88" s="4">
        <f t="shared" si="22"/>
        <v>0.6928660084782996</v>
      </c>
      <c r="R88" s="4">
        <v>82</v>
      </c>
      <c r="S88" s="4">
        <f t="shared" si="36"/>
        <v>201726.18772100861</v>
      </c>
      <c r="T88" s="4">
        <f t="shared" si="35"/>
        <v>0.67127782000000003</v>
      </c>
      <c r="U88" s="11">
        <f t="shared" si="33"/>
        <v>67714.209999999992</v>
      </c>
      <c r="V88" s="11">
        <f t="shared" si="34"/>
        <v>0.22533042330967681</v>
      </c>
      <c r="X88" s="3">
        <v>42107</v>
      </c>
      <c r="AA88">
        <v>3413.23</v>
      </c>
      <c r="AB88">
        <v>3413.23</v>
      </c>
      <c r="AC88">
        <v>10658.86</v>
      </c>
      <c r="AD88">
        <v>10658.86</v>
      </c>
      <c r="AE88">
        <v>14072.09</v>
      </c>
      <c r="AH88">
        <v>96326.1</v>
      </c>
      <c r="AI88">
        <v>96326.1</v>
      </c>
      <c r="AL88">
        <v>52762.31</v>
      </c>
      <c r="AM88">
        <v>52762.31</v>
      </c>
      <c r="AP88">
        <v>20585.990000000002</v>
      </c>
      <c r="AQ88">
        <v>20585.990000000002</v>
      </c>
      <c r="AW88">
        <v>12823.62</v>
      </c>
      <c r="AX88">
        <v>12823.62</v>
      </c>
      <c r="AY88">
        <v>182498.02</v>
      </c>
      <c r="BB88">
        <v>2739.9</v>
      </c>
      <c r="BC88">
        <v>2739.9</v>
      </c>
      <c r="BE88">
        <v>7770.86</v>
      </c>
      <c r="BF88">
        <v>7770.86</v>
      </c>
      <c r="BG88">
        <v>10510.76</v>
      </c>
      <c r="BH88">
        <v>3146.08</v>
      </c>
      <c r="BI88">
        <v>3146.08</v>
      </c>
      <c r="BK88">
        <v>12502.38</v>
      </c>
      <c r="BL88">
        <v>12502.38</v>
      </c>
      <c r="BM88">
        <v>15648.46</v>
      </c>
      <c r="BN88">
        <v>1357.25</v>
      </c>
      <c r="BO88">
        <v>1357.25</v>
      </c>
      <c r="BP88">
        <v>4243</v>
      </c>
      <c r="BQ88">
        <v>4243</v>
      </c>
      <c r="BR88">
        <v>5600.25</v>
      </c>
      <c r="BT88">
        <v>4466.9399999999996</v>
      </c>
      <c r="BU88">
        <v>4466.9399999999996</v>
      </c>
      <c r="BV88">
        <v>4466.9399999999996</v>
      </c>
      <c r="BW88">
        <v>300510.73</v>
      </c>
      <c r="BX88" s="1"/>
      <c r="BY88" s="1"/>
    </row>
    <row r="89" spans="4:77">
      <c r="D89" s="3">
        <v>42114</v>
      </c>
      <c r="E89" s="11">
        <f t="shared" si="23"/>
        <v>292065.18999999989</v>
      </c>
      <c r="F89" s="4">
        <f t="shared" si="24"/>
        <v>179496.77</v>
      </c>
      <c r="G89" s="4">
        <f t="shared" si="25"/>
        <v>0.61457775916397317</v>
      </c>
      <c r="H89" s="4">
        <f t="shared" si="37"/>
        <v>3433.03</v>
      </c>
      <c r="I89" s="4">
        <f t="shared" si="38"/>
        <v>2706.21</v>
      </c>
      <c r="J89" s="4">
        <f t="shared" si="26"/>
        <v>6139.24</v>
      </c>
      <c r="K89" s="4">
        <f t="shared" si="27"/>
        <v>16562.2</v>
      </c>
      <c r="L89" s="4">
        <f t="shared" si="28"/>
        <v>22701.440000000002</v>
      </c>
      <c r="M89" s="4">
        <f t="shared" si="29"/>
        <v>7.7727304647294701E-2</v>
      </c>
      <c r="N89" s="4">
        <f t="shared" si="30"/>
        <v>22745.31</v>
      </c>
      <c r="O89" s="4">
        <f t="shared" si="31"/>
        <v>7.7877510839275341E-2</v>
      </c>
      <c r="P89" s="4">
        <f t="shared" si="32"/>
        <v>202242.08</v>
      </c>
      <c r="Q89" s="4">
        <f t="shared" si="22"/>
        <v>0.69245527000324847</v>
      </c>
      <c r="R89" s="4">
        <v>83</v>
      </c>
      <c r="S89" s="4">
        <f t="shared" si="36"/>
        <v>196139.68744310262</v>
      </c>
      <c r="T89" s="4">
        <f t="shared" si="35"/>
        <v>0.67156132999999996</v>
      </c>
      <c r="U89" s="11">
        <f t="shared" si="33"/>
        <v>67121.669999999896</v>
      </c>
      <c r="V89" s="11">
        <f t="shared" si="34"/>
        <v>0.22981742534945682</v>
      </c>
      <c r="X89" s="3">
        <v>42114</v>
      </c>
      <c r="AA89">
        <v>3433.03</v>
      </c>
      <c r="AB89">
        <v>3433.03</v>
      </c>
      <c r="AC89">
        <v>9545.0300000000007</v>
      </c>
      <c r="AD89">
        <v>9545.0300000000007</v>
      </c>
      <c r="AE89">
        <v>12978.060000000001</v>
      </c>
      <c r="AH89">
        <v>95257.25</v>
      </c>
      <c r="AI89">
        <v>95257.25</v>
      </c>
      <c r="AL89">
        <v>51328.9</v>
      </c>
      <c r="AM89">
        <v>51328.9</v>
      </c>
      <c r="AP89">
        <v>20776.240000000002</v>
      </c>
      <c r="AQ89">
        <v>20776.240000000002</v>
      </c>
      <c r="AW89">
        <v>12134.38</v>
      </c>
      <c r="AX89">
        <v>12134.38</v>
      </c>
      <c r="AY89">
        <v>179496.77</v>
      </c>
      <c r="BB89">
        <v>2706.21</v>
      </c>
      <c r="BC89">
        <v>2706.21</v>
      </c>
      <c r="BE89">
        <v>7017.17</v>
      </c>
      <c r="BF89">
        <v>7017.17</v>
      </c>
      <c r="BG89">
        <v>9723.380000000001</v>
      </c>
      <c r="BH89">
        <v>2810.58</v>
      </c>
      <c r="BI89">
        <v>2810.58</v>
      </c>
      <c r="BK89">
        <v>11314.26</v>
      </c>
      <c r="BL89">
        <v>11314.26</v>
      </c>
      <c r="BM89">
        <v>14124.84</v>
      </c>
      <c r="BN89">
        <v>1281.8499999999999</v>
      </c>
      <c r="BO89">
        <v>1281.8499999999999</v>
      </c>
      <c r="BP89">
        <v>3666.1</v>
      </c>
      <c r="BQ89">
        <v>3666.1</v>
      </c>
      <c r="BR89">
        <v>4947.95</v>
      </c>
      <c r="BT89">
        <v>3672.52</v>
      </c>
      <c r="BU89">
        <v>3672.52</v>
      </c>
      <c r="BV89">
        <v>3672.52</v>
      </c>
      <c r="BW89">
        <v>292065.18999999989</v>
      </c>
      <c r="BX89" s="1"/>
      <c r="BY89" s="1"/>
    </row>
    <row r="90" spans="4:77">
      <c r="D90" s="3">
        <v>42121</v>
      </c>
      <c r="E90" s="11">
        <f t="shared" si="23"/>
        <v>285154.83999999997</v>
      </c>
      <c r="F90" s="4">
        <f t="shared" si="24"/>
        <v>175622.05</v>
      </c>
      <c r="G90" s="4">
        <f t="shared" si="25"/>
        <v>0.61588311108449012</v>
      </c>
      <c r="H90" s="4">
        <f t="shared" si="37"/>
        <v>3025.82</v>
      </c>
      <c r="I90" s="4">
        <f t="shared" si="38"/>
        <v>2517.39</v>
      </c>
      <c r="J90" s="4">
        <f t="shared" si="26"/>
        <v>5543.21</v>
      </c>
      <c r="K90" s="4">
        <f t="shared" si="27"/>
        <v>15384.919999999998</v>
      </c>
      <c r="L90" s="4">
        <f t="shared" si="28"/>
        <v>20928.129999999997</v>
      </c>
      <c r="M90" s="4">
        <f t="shared" si="29"/>
        <v>7.3392161255267485E-2</v>
      </c>
      <c r="N90" s="4">
        <f t="shared" si="30"/>
        <v>21543.100000000002</v>
      </c>
      <c r="O90" s="4">
        <f t="shared" si="31"/>
        <v>7.5548779042291569E-2</v>
      </c>
      <c r="P90" s="4">
        <f t="shared" si="32"/>
        <v>197165.15</v>
      </c>
      <c r="Q90" s="4">
        <f t="shared" si="22"/>
        <v>0.69143189012678175</v>
      </c>
      <c r="R90" s="4">
        <v>84</v>
      </c>
      <c r="S90" s="4">
        <f t="shared" si="36"/>
        <v>191579.80785502557</v>
      </c>
      <c r="T90" s="4">
        <f t="shared" si="35"/>
        <v>0.67184484</v>
      </c>
      <c r="U90" s="11">
        <f t="shared" si="33"/>
        <v>67061.559999999969</v>
      </c>
      <c r="V90" s="11">
        <f t="shared" si="34"/>
        <v>0.23517594861795077</v>
      </c>
      <c r="X90" s="3">
        <v>42121</v>
      </c>
      <c r="AA90">
        <v>3025.82</v>
      </c>
      <c r="AB90">
        <v>3025.82</v>
      </c>
      <c r="AC90">
        <v>8809.31</v>
      </c>
      <c r="AD90">
        <v>8809.31</v>
      </c>
      <c r="AE90">
        <v>11835.13</v>
      </c>
      <c r="AH90">
        <v>95025.47</v>
      </c>
      <c r="AI90">
        <v>95025.47</v>
      </c>
      <c r="AL90">
        <v>48070.04</v>
      </c>
      <c r="AM90">
        <v>48070.04</v>
      </c>
      <c r="AP90">
        <v>21140.799999999999</v>
      </c>
      <c r="AQ90">
        <v>21140.799999999999</v>
      </c>
      <c r="AW90">
        <v>11385.74</v>
      </c>
      <c r="AX90">
        <v>11385.74</v>
      </c>
      <c r="AY90">
        <v>175622.05</v>
      </c>
      <c r="BB90">
        <v>2517.39</v>
      </c>
      <c r="BC90">
        <v>2517.39</v>
      </c>
      <c r="BE90">
        <v>6575.61</v>
      </c>
      <c r="BF90">
        <v>6575.61</v>
      </c>
      <c r="BG90">
        <v>9093</v>
      </c>
      <c r="BH90">
        <v>2667.54</v>
      </c>
      <c r="BI90">
        <v>2667.54</v>
      </c>
      <c r="BK90">
        <v>10914.95</v>
      </c>
      <c r="BL90">
        <v>10914.95</v>
      </c>
      <c r="BM90">
        <v>13582.490000000002</v>
      </c>
      <c r="BN90">
        <v>1131.9100000000001</v>
      </c>
      <c r="BO90">
        <v>1131.9100000000001</v>
      </c>
      <c r="BP90">
        <v>3338.89</v>
      </c>
      <c r="BQ90">
        <v>3338.89</v>
      </c>
      <c r="BR90">
        <v>4470.8</v>
      </c>
      <c r="BT90">
        <v>3489.81</v>
      </c>
      <c r="BU90">
        <v>3489.81</v>
      </c>
      <c r="BV90">
        <v>3489.81</v>
      </c>
      <c r="BW90">
        <v>285154.83999999997</v>
      </c>
      <c r="BX90" s="1"/>
      <c r="BY90" s="1"/>
    </row>
    <row r="91" spans="4:77">
      <c r="D91" s="3">
        <v>42128</v>
      </c>
      <c r="E91" s="11">
        <f t="shared" si="23"/>
        <v>314763.05999999994</v>
      </c>
      <c r="F91" s="4">
        <f t="shared" si="24"/>
        <v>194581.82</v>
      </c>
      <c r="G91" s="4">
        <f t="shared" si="25"/>
        <v>0.618185056404014</v>
      </c>
      <c r="H91" s="4">
        <f t="shared" si="37"/>
        <v>3249.45</v>
      </c>
      <c r="I91" s="4">
        <f t="shared" si="38"/>
        <v>2725.28</v>
      </c>
      <c r="J91" s="4">
        <f t="shared" si="26"/>
        <v>5974.73</v>
      </c>
      <c r="K91" s="4">
        <f t="shared" si="27"/>
        <v>17680.98</v>
      </c>
      <c r="L91" s="4">
        <f t="shared" si="28"/>
        <v>23655.71</v>
      </c>
      <c r="M91" s="4">
        <f t="shared" si="29"/>
        <v>7.5154022203240758E-2</v>
      </c>
      <c r="N91" s="4">
        <f t="shared" si="30"/>
        <v>23271.56</v>
      </c>
      <c r="O91" s="4">
        <f t="shared" si="31"/>
        <v>7.3933580389007547E-2</v>
      </c>
      <c r="P91" s="4">
        <f t="shared" si="32"/>
        <v>217853.38</v>
      </c>
      <c r="Q91" s="4">
        <f t="shared" si="22"/>
        <v>0.69211863679302155</v>
      </c>
      <c r="R91" s="4">
        <v>85</v>
      </c>
      <c r="S91" s="4">
        <f t="shared" si="36"/>
        <v>211561.17615875098</v>
      </c>
      <c r="T91" s="4">
        <f t="shared" si="35"/>
        <v>0.67212835000000004</v>
      </c>
      <c r="U91" s="11">
        <f t="shared" si="33"/>
        <v>73253.969999999943</v>
      </c>
      <c r="V91" s="11">
        <f t="shared" si="34"/>
        <v>0.23272734100373774</v>
      </c>
      <c r="X91" s="3">
        <v>42128</v>
      </c>
      <c r="AA91">
        <v>3249.45</v>
      </c>
      <c r="AB91">
        <v>3249.45</v>
      </c>
      <c r="AC91">
        <v>10039.41</v>
      </c>
      <c r="AD91">
        <v>10039.41</v>
      </c>
      <c r="AE91">
        <v>13288.86</v>
      </c>
      <c r="AH91">
        <v>104298.43</v>
      </c>
      <c r="AI91">
        <v>104298.43</v>
      </c>
      <c r="AL91">
        <v>53909.54</v>
      </c>
      <c r="AM91">
        <v>53909.54</v>
      </c>
      <c r="AP91">
        <v>23694.26</v>
      </c>
      <c r="AQ91">
        <v>23694.26</v>
      </c>
      <c r="AW91">
        <v>12679.59</v>
      </c>
      <c r="AX91">
        <v>12679.59</v>
      </c>
      <c r="AY91">
        <v>194581.82</v>
      </c>
      <c r="BB91">
        <v>2725.28</v>
      </c>
      <c r="BC91">
        <v>2725.28</v>
      </c>
      <c r="BE91">
        <v>7641.57</v>
      </c>
      <c r="BF91">
        <v>7641.57</v>
      </c>
      <c r="BG91">
        <v>10366.85</v>
      </c>
      <c r="BH91">
        <v>3090.32</v>
      </c>
      <c r="BI91">
        <v>3090.32</v>
      </c>
      <c r="BK91">
        <v>11609.85</v>
      </c>
      <c r="BL91">
        <v>11609.85</v>
      </c>
      <c r="BM91">
        <v>14700.17</v>
      </c>
      <c r="BN91">
        <v>1357.72</v>
      </c>
      <c r="BO91">
        <v>1357.72</v>
      </c>
      <c r="BP91">
        <v>3545.72</v>
      </c>
      <c r="BQ91">
        <v>3545.72</v>
      </c>
      <c r="BR91">
        <v>4903.4399999999996</v>
      </c>
      <c r="BT91">
        <v>3667.95</v>
      </c>
      <c r="BU91">
        <v>3667.95</v>
      </c>
      <c r="BV91">
        <v>3667.95</v>
      </c>
      <c r="BW91">
        <v>314763.05999999994</v>
      </c>
      <c r="BX91" s="1"/>
      <c r="BY91" s="1"/>
    </row>
    <row r="92" spans="4:77">
      <c r="D92" s="3">
        <v>42135</v>
      </c>
      <c r="E92" s="11">
        <f t="shared" si="23"/>
        <v>332210.91000000003</v>
      </c>
      <c r="F92" s="4">
        <f t="shared" si="24"/>
        <v>203738.77</v>
      </c>
      <c r="G92" s="4">
        <f t="shared" si="25"/>
        <v>0.61328139403970805</v>
      </c>
      <c r="H92" s="4">
        <f t="shared" si="37"/>
        <v>4104.6499999999996</v>
      </c>
      <c r="I92" s="4">
        <f t="shared" si="38"/>
        <v>3468.19</v>
      </c>
      <c r="J92" s="4">
        <f t="shared" si="26"/>
        <v>7572.84</v>
      </c>
      <c r="K92" s="4">
        <f t="shared" si="27"/>
        <v>18467.559999999998</v>
      </c>
      <c r="L92" s="4">
        <f t="shared" si="28"/>
        <v>26040.399999999998</v>
      </c>
      <c r="M92" s="4">
        <f t="shared" si="29"/>
        <v>7.8385143943647109E-2</v>
      </c>
      <c r="N92" s="4">
        <f t="shared" si="30"/>
        <v>25483.62</v>
      </c>
      <c r="O92" s="4">
        <f t="shared" si="31"/>
        <v>7.6709160454724368E-2</v>
      </c>
      <c r="P92" s="4">
        <f t="shared" si="32"/>
        <v>229222.38999999998</v>
      </c>
      <c r="Q92" s="4">
        <f t="shared" si="22"/>
        <v>0.68999055449443236</v>
      </c>
      <c r="R92" s="4">
        <v>86</v>
      </c>
      <c r="S92" s="4">
        <f t="shared" si="36"/>
        <v>223382.55590539263</v>
      </c>
      <c r="T92" s="4">
        <f t="shared" si="35"/>
        <v>0.67241185999999997</v>
      </c>
      <c r="U92" s="11">
        <f t="shared" si="33"/>
        <v>76948.120000000054</v>
      </c>
      <c r="V92" s="11">
        <f t="shared" si="34"/>
        <v>0.23162430156192054</v>
      </c>
      <c r="X92" s="3">
        <v>42135</v>
      </c>
      <c r="AA92">
        <v>4104.6499999999996</v>
      </c>
      <c r="AB92">
        <v>4104.6499999999996</v>
      </c>
      <c r="AC92">
        <v>10625.71</v>
      </c>
      <c r="AD92">
        <v>10625.71</v>
      </c>
      <c r="AE92">
        <v>14730.359999999999</v>
      </c>
      <c r="AH92">
        <v>109839.65</v>
      </c>
      <c r="AI92">
        <v>109839.65</v>
      </c>
      <c r="AL92">
        <v>55807.5</v>
      </c>
      <c r="AM92">
        <v>55807.5</v>
      </c>
      <c r="AP92">
        <v>24848.240000000002</v>
      </c>
      <c r="AQ92">
        <v>24848.240000000002</v>
      </c>
      <c r="AW92">
        <v>13243.38</v>
      </c>
      <c r="AX92">
        <v>13243.38</v>
      </c>
      <c r="AY92">
        <v>203738.77</v>
      </c>
      <c r="BB92">
        <v>3468.19</v>
      </c>
      <c r="BC92">
        <v>3468.19</v>
      </c>
      <c r="BE92">
        <v>7841.85</v>
      </c>
      <c r="BF92">
        <v>7841.85</v>
      </c>
      <c r="BG92">
        <v>11310.04</v>
      </c>
      <c r="BH92">
        <v>3998.08</v>
      </c>
      <c r="BI92">
        <v>3998.08</v>
      </c>
      <c r="BK92">
        <v>12089.64</v>
      </c>
      <c r="BL92">
        <v>12089.64</v>
      </c>
      <c r="BM92">
        <v>16087.72</v>
      </c>
      <c r="BN92">
        <v>1962.38</v>
      </c>
      <c r="BO92">
        <v>1962.38</v>
      </c>
      <c r="BP92">
        <v>3694.63</v>
      </c>
      <c r="BQ92">
        <v>3694.63</v>
      </c>
      <c r="BR92">
        <v>5657.01</v>
      </c>
      <c r="BT92">
        <v>3738.89</v>
      </c>
      <c r="BU92">
        <v>3738.89</v>
      </c>
      <c r="BV92">
        <v>3738.89</v>
      </c>
      <c r="BW92">
        <v>332210.91000000003</v>
      </c>
      <c r="BX92" s="1"/>
      <c r="BY92" s="1"/>
    </row>
    <row r="93" spans="4:77">
      <c r="D93" s="3">
        <v>42142</v>
      </c>
      <c r="E93" s="11">
        <f t="shared" si="23"/>
        <v>348888.93</v>
      </c>
      <c r="F93" s="4">
        <f t="shared" si="24"/>
        <v>217435.62000000002</v>
      </c>
      <c r="G93" s="4">
        <f t="shared" si="25"/>
        <v>0.62322304121257166</v>
      </c>
      <c r="H93" s="4">
        <f t="shared" si="37"/>
        <v>3890.87</v>
      </c>
      <c r="I93" s="4">
        <f t="shared" si="38"/>
        <v>3210.65</v>
      </c>
      <c r="J93" s="4">
        <f t="shared" si="26"/>
        <v>7101.52</v>
      </c>
      <c r="K93" s="4">
        <f t="shared" si="27"/>
        <v>18900.330000000002</v>
      </c>
      <c r="L93" s="4">
        <f t="shared" si="28"/>
        <v>26001.850000000002</v>
      </c>
      <c r="M93" s="4">
        <f t="shared" si="29"/>
        <v>7.4527586759488187E-2</v>
      </c>
      <c r="N93" s="4">
        <f t="shared" si="30"/>
        <v>24735.21</v>
      </c>
      <c r="O93" s="4">
        <f t="shared" si="31"/>
        <v>7.08970903719989E-2</v>
      </c>
      <c r="P93" s="4">
        <f t="shared" si="32"/>
        <v>242170.83000000002</v>
      </c>
      <c r="Q93" s="4">
        <f t="shared" si="22"/>
        <v>0.69412013158457053</v>
      </c>
      <c r="R93" s="4">
        <v>87</v>
      </c>
      <c r="S93" s="4">
        <f t="shared" si="36"/>
        <v>234695.9678552541</v>
      </c>
      <c r="T93" s="4">
        <f t="shared" si="35"/>
        <v>0.67269537000000001</v>
      </c>
      <c r="U93" s="11">
        <f t="shared" si="33"/>
        <v>80716.249999999942</v>
      </c>
      <c r="V93" s="11">
        <f t="shared" si="34"/>
        <v>0.23135228165594118</v>
      </c>
      <c r="X93" s="3">
        <v>42142</v>
      </c>
      <c r="AA93">
        <v>3890.87</v>
      </c>
      <c r="AB93">
        <v>3890.87</v>
      </c>
      <c r="AC93">
        <v>10942.57</v>
      </c>
      <c r="AD93">
        <v>10942.57</v>
      </c>
      <c r="AE93">
        <v>14833.439999999999</v>
      </c>
      <c r="AH93">
        <v>116218.33</v>
      </c>
      <c r="AI93">
        <v>116218.33</v>
      </c>
      <c r="AL93">
        <v>61109</v>
      </c>
      <c r="AM93">
        <v>61109</v>
      </c>
      <c r="AP93">
        <v>26167.5</v>
      </c>
      <c r="AQ93">
        <v>26167.5</v>
      </c>
      <c r="AW93">
        <v>13940.79</v>
      </c>
      <c r="AX93">
        <v>13940.79</v>
      </c>
      <c r="AY93">
        <v>217435.62000000002</v>
      </c>
      <c r="BB93">
        <v>3210.65</v>
      </c>
      <c r="BC93">
        <v>3210.65</v>
      </c>
      <c r="BE93">
        <v>7957.76</v>
      </c>
      <c r="BF93">
        <v>7957.76</v>
      </c>
      <c r="BG93">
        <v>11168.41</v>
      </c>
      <c r="BH93">
        <v>3688.35</v>
      </c>
      <c r="BI93">
        <v>3688.35</v>
      </c>
      <c r="BK93">
        <v>12384.13</v>
      </c>
      <c r="BL93">
        <v>12384.13</v>
      </c>
      <c r="BM93">
        <v>16072.48</v>
      </c>
      <c r="BN93">
        <v>1611.19</v>
      </c>
      <c r="BO93">
        <v>1611.19</v>
      </c>
      <c r="BP93">
        <v>3493.46</v>
      </c>
      <c r="BQ93">
        <v>3493.46</v>
      </c>
      <c r="BR93">
        <v>5104.6499999999996</v>
      </c>
      <c r="BT93">
        <v>3558.08</v>
      </c>
      <c r="BU93">
        <v>3558.08</v>
      </c>
      <c r="BV93">
        <v>3558.08</v>
      </c>
      <c r="BW93">
        <v>348888.93</v>
      </c>
      <c r="BX93" s="1"/>
      <c r="BY93" s="1"/>
    </row>
    <row r="94" spans="4:77">
      <c r="D94" s="3">
        <v>42149</v>
      </c>
      <c r="E94" s="11">
        <f t="shared" si="23"/>
        <v>266099.43</v>
      </c>
      <c r="F94" s="4">
        <f t="shared" si="24"/>
        <v>166552.66999999998</v>
      </c>
      <c r="G94" s="4">
        <f t="shared" si="25"/>
        <v>0.62590389614889441</v>
      </c>
      <c r="H94" s="4">
        <f t="shared" si="37"/>
        <v>3133.11</v>
      </c>
      <c r="I94" s="4">
        <f t="shared" si="38"/>
        <v>2525.92</v>
      </c>
      <c r="J94" s="4">
        <f t="shared" si="26"/>
        <v>5659.0300000000007</v>
      </c>
      <c r="K94" s="4">
        <f t="shared" si="27"/>
        <v>13674.54</v>
      </c>
      <c r="L94" s="4">
        <f t="shared" si="28"/>
        <v>19333.57</v>
      </c>
      <c r="M94" s="4">
        <f t="shared" si="29"/>
        <v>7.2655435601647098E-2</v>
      </c>
      <c r="N94" s="4">
        <f t="shared" si="30"/>
        <v>18053.800000000003</v>
      </c>
      <c r="O94" s="4">
        <f t="shared" si="31"/>
        <v>6.7846067915290173E-2</v>
      </c>
      <c r="P94" s="4">
        <f t="shared" si="32"/>
        <v>184606.46999999997</v>
      </c>
      <c r="Q94" s="4">
        <f t="shared" si="22"/>
        <v>0.69374996406418454</v>
      </c>
      <c r="R94" s="4">
        <v>88</v>
      </c>
      <c r="S94" s="4">
        <f t="shared" si="36"/>
        <v>179079.29637003838</v>
      </c>
      <c r="T94" s="4">
        <f t="shared" si="35"/>
        <v>0.67297887999999995</v>
      </c>
      <c r="U94" s="11">
        <f t="shared" si="33"/>
        <v>62159.390000000014</v>
      </c>
      <c r="V94" s="11">
        <f t="shared" si="34"/>
        <v>0.23359460033416837</v>
      </c>
      <c r="X94" s="3">
        <v>42149</v>
      </c>
      <c r="AA94">
        <v>3133.11</v>
      </c>
      <c r="AB94">
        <v>3133.11</v>
      </c>
      <c r="AC94">
        <v>7934.89</v>
      </c>
      <c r="AD94">
        <v>7934.89</v>
      </c>
      <c r="AE94">
        <v>11068</v>
      </c>
      <c r="AH94">
        <v>92436.14</v>
      </c>
      <c r="AI94">
        <v>92436.14</v>
      </c>
      <c r="AL94">
        <v>43728.77</v>
      </c>
      <c r="AM94">
        <v>43728.77</v>
      </c>
      <c r="AP94">
        <v>19910.27</v>
      </c>
      <c r="AQ94">
        <v>19910.27</v>
      </c>
      <c r="AW94">
        <v>10477.49</v>
      </c>
      <c r="AX94">
        <v>10477.49</v>
      </c>
      <c r="AY94">
        <v>166552.66999999998</v>
      </c>
      <c r="BB94">
        <v>2525.92</v>
      </c>
      <c r="BC94">
        <v>2525.92</v>
      </c>
      <c r="BE94">
        <v>5739.65</v>
      </c>
      <c r="BF94">
        <v>5739.65</v>
      </c>
      <c r="BG94">
        <v>8265.57</v>
      </c>
      <c r="BH94">
        <v>2810.28</v>
      </c>
      <c r="BI94">
        <v>2810.28</v>
      </c>
      <c r="BK94">
        <v>8720.8700000000008</v>
      </c>
      <c r="BL94">
        <v>8720.8700000000008</v>
      </c>
      <c r="BM94">
        <v>11531.150000000001</v>
      </c>
      <c r="BN94">
        <v>1268.1199999999999</v>
      </c>
      <c r="BO94">
        <v>1268.1199999999999</v>
      </c>
      <c r="BP94">
        <v>2709.9</v>
      </c>
      <c r="BQ94">
        <v>2709.9</v>
      </c>
      <c r="BR94">
        <v>3978.02</v>
      </c>
      <c r="BT94">
        <v>2544.63</v>
      </c>
      <c r="BU94">
        <v>2544.63</v>
      </c>
      <c r="BV94">
        <v>2544.63</v>
      </c>
      <c r="BW94">
        <v>266099.43</v>
      </c>
      <c r="BX94" s="1"/>
      <c r="BY94" s="1"/>
    </row>
    <row r="95" spans="4:77">
      <c r="D95" s="3">
        <v>42156</v>
      </c>
      <c r="E95" s="11">
        <f t="shared" si="23"/>
        <v>296765.43000000011</v>
      </c>
      <c r="F95" s="4">
        <f t="shared" si="24"/>
        <v>182847.85</v>
      </c>
      <c r="G95" s="4">
        <f t="shared" si="25"/>
        <v>0.61613594952754414</v>
      </c>
      <c r="H95" s="4">
        <f t="shared" si="37"/>
        <v>3422.21</v>
      </c>
      <c r="I95" s="4">
        <f t="shared" si="38"/>
        <v>2809.81</v>
      </c>
      <c r="J95" s="4">
        <f t="shared" si="26"/>
        <v>6232.02</v>
      </c>
      <c r="K95" s="4">
        <f t="shared" si="27"/>
        <v>15548.91</v>
      </c>
      <c r="L95" s="4">
        <f t="shared" si="28"/>
        <v>21780.93</v>
      </c>
      <c r="M95" s="4">
        <f t="shared" si="29"/>
        <v>7.3394431420128664E-2</v>
      </c>
      <c r="N95" s="4">
        <f t="shared" si="30"/>
        <v>20294.099999999999</v>
      </c>
      <c r="O95" s="4">
        <f t="shared" si="31"/>
        <v>6.8384312822420024E-2</v>
      </c>
      <c r="P95" s="4">
        <f t="shared" si="32"/>
        <v>203141.95</v>
      </c>
      <c r="Q95" s="4">
        <f t="shared" si="22"/>
        <v>0.68452026234996421</v>
      </c>
      <c r="R95" s="4">
        <v>89</v>
      </c>
      <c r="S95" s="4">
        <f t="shared" si="36"/>
        <v>199801.00267117776</v>
      </c>
      <c r="T95" s="4">
        <f t="shared" si="35"/>
        <v>0.67326238999999999</v>
      </c>
      <c r="U95" s="11">
        <f t="shared" si="33"/>
        <v>71842.550000000105</v>
      </c>
      <c r="V95" s="11">
        <f t="shared" si="34"/>
        <v>0.24208530622990718</v>
      </c>
      <c r="X95" s="3">
        <v>42156</v>
      </c>
      <c r="AA95">
        <v>3422.21</v>
      </c>
      <c r="AB95">
        <v>3422.21</v>
      </c>
      <c r="AC95">
        <v>8944.34</v>
      </c>
      <c r="AD95">
        <v>8944.34</v>
      </c>
      <c r="AE95">
        <v>12366.55</v>
      </c>
      <c r="AH95">
        <v>95322.54</v>
      </c>
      <c r="AI95">
        <v>95322.54</v>
      </c>
      <c r="AL95">
        <v>50843.47</v>
      </c>
      <c r="AM95">
        <v>50843.47</v>
      </c>
      <c r="AP95">
        <v>23686.06</v>
      </c>
      <c r="AQ95">
        <v>23686.06</v>
      </c>
      <c r="AW95">
        <v>12995.78</v>
      </c>
      <c r="AX95">
        <v>12995.78</v>
      </c>
      <c r="AY95">
        <v>182847.85</v>
      </c>
      <c r="BB95">
        <v>2809.81</v>
      </c>
      <c r="BC95">
        <v>2809.81</v>
      </c>
      <c r="BE95">
        <v>6604.57</v>
      </c>
      <c r="BF95">
        <v>6604.57</v>
      </c>
      <c r="BG95">
        <v>9414.3799999999992</v>
      </c>
      <c r="BH95">
        <v>2940.28</v>
      </c>
      <c r="BI95">
        <v>2940.28</v>
      </c>
      <c r="BK95">
        <v>9981.1200000000008</v>
      </c>
      <c r="BL95">
        <v>9981.1200000000008</v>
      </c>
      <c r="BM95">
        <v>12921.400000000001</v>
      </c>
      <c r="BN95">
        <v>1393.52</v>
      </c>
      <c r="BO95">
        <v>1393.52</v>
      </c>
      <c r="BP95">
        <v>2986.26</v>
      </c>
      <c r="BQ95">
        <v>2986.26</v>
      </c>
      <c r="BR95">
        <v>4379.7800000000007</v>
      </c>
      <c r="BT95">
        <v>2992.92</v>
      </c>
      <c r="BU95">
        <v>2992.92</v>
      </c>
      <c r="BV95">
        <v>2992.92</v>
      </c>
      <c r="BW95">
        <v>296765.43000000011</v>
      </c>
      <c r="BX95" s="1"/>
      <c r="BY95" s="1"/>
    </row>
    <row r="96" spans="4:77">
      <c r="D96" s="3">
        <v>42163</v>
      </c>
      <c r="E96" s="11">
        <f t="shared" si="23"/>
        <v>306425.1399999999</v>
      </c>
      <c r="F96" s="4">
        <f t="shared" si="24"/>
        <v>191809.95</v>
      </c>
      <c r="G96" s="4">
        <f t="shared" si="25"/>
        <v>0.62596022637046056</v>
      </c>
      <c r="H96" s="4">
        <f t="shared" si="37"/>
        <v>3584.83</v>
      </c>
      <c r="I96" s="4">
        <f t="shared" si="38"/>
        <v>2742.94</v>
      </c>
      <c r="J96" s="4">
        <f t="shared" si="26"/>
        <v>6327.77</v>
      </c>
      <c r="K96" s="4">
        <f t="shared" si="27"/>
        <v>15882.27</v>
      </c>
      <c r="L96" s="4">
        <f t="shared" si="28"/>
        <v>22210.04</v>
      </c>
      <c r="M96" s="4">
        <f t="shared" si="29"/>
        <v>7.2481128669795197E-2</v>
      </c>
      <c r="N96" s="4">
        <f t="shared" si="30"/>
        <v>20466.599999999999</v>
      </c>
      <c r="O96" s="4">
        <f t="shared" si="31"/>
        <v>6.6791517171208625E-2</v>
      </c>
      <c r="P96" s="4">
        <f t="shared" si="32"/>
        <v>212276.55000000002</v>
      </c>
      <c r="Q96" s="4">
        <f t="shared" si="22"/>
        <v>0.69275174354166924</v>
      </c>
      <c r="R96" s="4">
        <v>90</v>
      </c>
      <c r="S96" s="4">
        <f t="shared" si="36"/>
        <v>206391.39670392594</v>
      </c>
      <c r="T96" s="4">
        <f t="shared" si="35"/>
        <v>0.67354590000000003</v>
      </c>
      <c r="U96" s="11">
        <f t="shared" si="33"/>
        <v>71938.549999999872</v>
      </c>
      <c r="V96" s="11">
        <f t="shared" si="34"/>
        <v>0.23476712778853556</v>
      </c>
      <c r="X96" s="3">
        <v>42163</v>
      </c>
      <c r="AA96">
        <v>3584.83</v>
      </c>
      <c r="AB96">
        <v>3584.83</v>
      </c>
      <c r="AC96">
        <v>9203.93</v>
      </c>
      <c r="AD96">
        <v>9203.93</v>
      </c>
      <c r="AE96">
        <v>12788.76</v>
      </c>
      <c r="AH96">
        <v>100856.98</v>
      </c>
      <c r="AI96">
        <v>100856.98</v>
      </c>
      <c r="AL96">
        <v>53793.61</v>
      </c>
      <c r="AM96">
        <v>53793.61</v>
      </c>
      <c r="AP96">
        <v>23794.25</v>
      </c>
      <c r="AQ96">
        <v>23794.25</v>
      </c>
      <c r="AW96">
        <v>13365.11</v>
      </c>
      <c r="AX96">
        <v>13365.11</v>
      </c>
      <c r="AY96">
        <v>191809.95</v>
      </c>
      <c r="BB96">
        <v>2742.94</v>
      </c>
      <c r="BC96">
        <v>2742.94</v>
      </c>
      <c r="BE96">
        <v>6678.34</v>
      </c>
      <c r="BF96">
        <v>6678.34</v>
      </c>
      <c r="BG96">
        <v>9421.2800000000007</v>
      </c>
      <c r="BH96">
        <v>3254.88</v>
      </c>
      <c r="BI96">
        <v>3254.88</v>
      </c>
      <c r="BK96">
        <v>10218.129999999999</v>
      </c>
      <c r="BL96">
        <v>10218.129999999999</v>
      </c>
      <c r="BM96">
        <v>13473.009999999998</v>
      </c>
      <c r="BN96">
        <v>1279.92</v>
      </c>
      <c r="BO96">
        <v>1279.92</v>
      </c>
      <c r="BP96">
        <v>2892.74</v>
      </c>
      <c r="BQ96">
        <v>2892.74</v>
      </c>
      <c r="BR96">
        <v>4172.66</v>
      </c>
      <c r="BT96">
        <v>2820.93</v>
      </c>
      <c r="BU96">
        <v>2820.93</v>
      </c>
      <c r="BV96">
        <v>2820.93</v>
      </c>
      <c r="BW96">
        <v>306425.1399999999</v>
      </c>
      <c r="BX96" s="1"/>
      <c r="BY96" s="1"/>
    </row>
    <row r="97" spans="4:77">
      <c r="D97" s="3">
        <v>42170</v>
      </c>
      <c r="E97" s="11">
        <f t="shared" si="23"/>
        <v>312525.51</v>
      </c>
      <c r="F97" s="4">
        <f t="shared" si="24"/>
        <v>195769.72</v>
      </c>
      <c r="G97" s="4">
        <f t="shared" si="25"/>
        <v>0.62641196873816796</v>
      </c>
      <c r="H97" s="4">
        <f t="shared" si="37"/>
        <v>3583.04</v>
      </c>
      <c r="I97" s="4">
        <f t="shared" si="38"/>
        <v>2786.78</v>
      </c>
      <c r="J97" s="4">
        <f t="shared" si="26"/>
        <v>6369.82</v>
      </c>
      <c r="K97" s="4">
        <f t="shared" si="27"/>
        <v>16712.73</v>
      </c>
      <c r="L97" s="4">
        <f t="shared" si="28"/>
        <v>23082.55</v>
      </c>
      <c r="M97" s="4">
        <f t="shared" si="29"/>
        <v>7.385813081306547E-2</v>
      </c>
      <c r="N97" s="4">
        <f t="shared" si="30"/>
        <v>21255.199999999997</v>
      </c>
      <c r="O97" s="4">
        <f t="shared" si="31"/>
        <v>6.8011088118854673E-2</v>
      </c>
      <c r="P97" s="4">
        <f t="shared" si="32"/>
        <v>217024.91999999998</v>
      </c>
      <c r="Q97" s="4">
        <f t="shared" si="22"/>
        <v>0.69442305685702255</v>
      </c>
      <c r="R97" s="4">
        <v>91</v>
      </c>
      <c r="S97" s="4">
        <f t="shared" si="36"/>
        <v>210588.88001324909</v>
      </c>
      <c r="T97" s="4">
        <f t="shared" si="35"/>
        <v>0.67382940999999996</v>
      </c>
      <c r="U97" s="11">
        <f t="shared" si="33"/>
        <v>72418.040000000037</v>
      </c>
      <c r="V97" s="11">
        <f t="shared" si="34"/>
        <v>0.23171881232991201</v>
      </c>
      <c r="X97" s="3">
        <v>42170</v>
      </c>
      <c r="AA97">
        <v>3583.04</v>
      </c>
      <c r="AB97">
        <v>3583.04</v>
      </c>
      <c r="AC97">
        <v>9740.15</v>
      </c>
      <c r="AD97">
        <v>9740.15</v>
      </c>
      <c r="AE97">
        <v>13323.189999999999</v>
      </c>
      <c r="AH97">
        <v>103382.5</v>
      </c>
      <c r="AI97">
        <v>103382.5</v>
      </c>
      <c r="AL97">
        <v>56453.15</v>
      </c>
      <c r="AM97">
        <v>56453.15</v>
      </c>
      <c r="AP97">
        <v>22960.9</v>
      </c>
      <c r="AQ97">
        <v>22960.9</v>
      </c>
      <c r="AW97">
        <v>12973.17</v>
      </c>
      <c r="AX97">
        <v>12973.17</v>
      </c>
      <c r="AY97">
        <v>195769.72</v>
      </c>
      <c r="BB97">
        <v>2786.78</v>
      </c>
      <c r="BC97">
        <v>2786.78</v>
      </c>
      <c r="BE97">
        <v>6972.58</v>
      </c>
      <c r="BF97">
        <v>6972.58</v>
      </c>
      <c r="BG97">
        <v>9759.36</v>
      </c>
      <c r="BH97">
        <v>3272.01</v>
      </c>
      <c r="BI97">
        <v>3272.01</v>
      </c>
      <c r="BK97">
        <v>10633.19</v>
      </c>
      <c r="BL97">
        <v>10633.19</v>
      </c>
      <c r="BM97">
        <v>13905.2</v>
      </c>
      <c r="BN97">
        <v>1601.5</v>
      </c>
      <c r="BO97">
        <v>1601.5</v>
      </c>
      <c r="BP97">
        <v>2873.9</v>
      </c>
      <c r="BQ97">
        <v>2873.9</v>
      </c>
      <c r="BR97">
        <v>4475.3999999999996</v>
      </c>
      <c r="BT97">
        <v>2874.6</v>
      </c>
      <c r="BU97">
        <v>2874.6</v>
      </c>
      <c r="BV97">
        <v>2874.6</v>
      </c>
      <c r="BW97">
        <v>312525.51</v>
      </c>
      <c r="BX97" s="1"/>
      <c r="BY97" s="1"/>
    </row>
    <row r="98" spans="4:77">
      <c r="D98" s="3">
        <v>42177</v>
      </c>
      <c r="E98" s="11">
        <f t="shared" si="23"/>
        <v>324149.90999999997</v>
      </c>
      <c r="F98" s="4">
        <f t="shared" si="24"/>
        <v>202063.25</v>
      </c>
      <c r="G98" s="4">
        <f t="shared" si="25"/>
        <v>0.62336358507704048</v>
      </c>
      <c r="H98" s="4">
        <f t="shared" si="37"/>
        <v>3638</v>
      </c>
      <c r="I98" s="4">
        <f t="shared" si="38"/>
        <v>3036.79</v>
      </c>
      <c r="J98" s="4">
        <f t="shared" si="26"/>
        <v>6674.79</v>
      </c>
      <c r="K98" s="4">
        <f t="shared" si="27"/>
        <v>17418.489999999998</v>
      </c>
      <c r="L98" s="4">
        <f t="shared" si="28"/>
        <v>24093.279999999999</v>
      </c>
      <c r="M98" s="4">
        <f t="shared" si="29"/>
        <v>7.4327585036195132E-2</v>
      </c>
      <c r="N98" s="4">
        <f t="shared" si="30"/>
        <v>22306.7</v>
      </c>
      <c r="O98" s="4">
        <f t="shared" si="31"/>
        <v>6.8815999362763988E-2</v>
      </c>
      <c r="P98" s="4">
        <f t="shared" si="32"/>
        <v>224369.95</v>
      </c>
      <c r="Q98" s="4">
        <f t="shared" si="22"/>
        <v>0.69217958443980454</v>
      </c>
      <c r="R98" s="4">
        <v>92</v>
      </c>
      <c r="S98" s="4">
        <f t="shared" si="36"/>
        <v>218513.64234783719</v>
      </c>
      <c r="T98" s="4">
        <f t="shared" si="35"/>
        <v>0.67411292</v>
      </c>
      <c r="U98" s="11">
        <f t="shared" si="33"/>
        <v>75686.679999999964</v>
      </c>
      <c r="V98" s="11">
        <f t="shared" si="34"/>
        <v>0.23349283052400036</v>
      </c>
      <c r="X98" s="3">
        <v>42177</v>
      </c>
      <c r="AA98">
        <v>3638</v>
      </c>
      <c r="AB98">
        <v>3638</v>
      </c>
      <c r="AC98">
        <v>10005.34</v>
      </c>
      <c r="AD98">
        <v>10005.34</v>
      </c>
      <c r="AE98">
        <v>13643.34</v>
      </c>
      <c r="AH98">
        <v>106815.37</v>
      </c>
      <c r="AI98">
        <v>106815.37</v>
      </c>
      <c r="AL98">
        <v>59375.15</v>
      </c>
      <c r="AM98">
        <v>59375.15</v>
      </c>
      <c r="AP98">
        <v>22665.72</v>
      </c>
      <c r="AQ98">
        <v>22665.72</v>
      </c>
      <c r="AW98">
        <v>13207.01</v>
      </c>
      <c r="AX98">
        <v>13207.01</v>
      </c>
      <c r="AY98">
        <v>202063.25</v>
      </c>
      <c r="BB98">
        <v>3036.79</v>
      </c>
      <c r="BC98">
        <v>3036.79</v>
      </c>
      <c r="BE98">
        <v>7413.15</v>
      </c>
      <c r="BF98">
        <v>7413.15</v>
      </c>
      <c r="BG98">
        <v>10449.939999999999</v>
      </c>
      <c r="BH98">
        <v>3094.21</v>
      </c>
      <c r="BI98">
        <v>3094.21</v>
      </c>
      <c r="BK98">
        <v>11304.32</v>
      </c>
      <c r="BL98">
        <v>11304.32</v>
      </c>
      <c r="BM98">
        <v>14398.529999999999</v>
      </c>
      <c r="BN98">
        <v>1236.21</v>
      </c>
      <c r="BO98">
        <v>1236.21</v>
      </c>
      <c r="BP98">
        <v>3312.65</v>
      </c>
      <c r="BQ98">
        <v>3312.65</v>
      </c>
      <c r="BR98">
        <v>4548.8600000000006</v>
      </c>
      <c r="BT98">
        <v>3359.31</v>
      </c>
      <c r="BU98">
        <v>3359.31</v>
      </c>
      <c r="BV98">
        <v>3359.31</v>
      </c>
      <c r="BW98">
        <v>324149.90999999997</v>
      </c>
      <c r="BX98" s="1"/>
      <c r="BY98" s="1"/>
    </row>
    <row r="99" spans="4:77">
      <c r="D99" s="3">
        <v>42184</v>
      </c>
      <c r="E99" s="11">
        <f t="shared" si="23"/>
        <v>316755.40000000008</v>
      </c>
      <c r="F99" s="4">
        <f t="shared" si="24"/>
        <v>198496.2</v>
      </c>
      <c r="G99" s="4">
        <f t="shared" si="25"/>
        <v>0.62665451007307205</v>
      </c>
      <c r="H99" s="4">
        <f t="shared" si="37"/>
        <v>3796.18</v>
      </c>
      <c r="I99" s="4">
        <f t="shared" si="38"/>
        <v>3095.1</v>
      </c>
      <c r="J99" s="4">
        <f t="shared" si="26"/>
        <v>6891.28</v>
      </c>
      <c r="K99" s="4">
        <f t="shared" si="27"/>
        <v>16058.77</v>
      </c>
      <c r="L99" s="4">
        <f t="shared" si="28"/>
        <v>22950.05</v>
      </c>
      <c r="M99" s="4">
        <f t="shared" si="29"/>
        <v>7.2453539860725322E-2</v>
      </c>
      <c r="N99" s="4">
        <f t="shared" si="30"/>
        <v>20767.07</v>
      </c>
      <c r="O99" s="4">
        <f t="shared" si="31"/>
        <v>6.556184993215583E-2</v>
      </c>
      <c r="P99" s="4">
        <f t="shared" si="32"/>
        <v>219263.27000000002</v>
      </c>
      <c r="Q99" s="4">
        <f t="shared" si="22"/>
        <v>0.6922163600052279</v>
      </c>
      <c r="R99" s="4">
        <v>93</v>
      </c>
      <c r="S99" s="4">
        <f t="shared" si="36"/>
        <v>213618.71094322208</v>
      </c>
      <c r="T99" s="4">
        <f t="shared" si="35"/>
        <v>0.67439643000000005</v>
      </c>
      <c r="U99" s="11">
        <f t="shared" si="33"/>
        <v>74542.080000000075</v>
      </c>
      <c r="V99" s="11">
        <f t="shared" si="34"/>
        <v>0.23533010013404682</v>
      </c>
      <c r="X99" s="3">
        <v>42184</v>
      </c>
      <c r="AA99">
        <v>3796.18</v>
      </c>
      <c r="AB99">
        <v>3796.18</v>
      </c>
      <c r="AC99">
        <v>9040.4599999999991</v>
      </c>
      <c r="AD99">
        <v>9040.4599999999991</v>
      </c>
      <c r="AE99">
        <v>12836.64</v>
      </c>
      <c r="AH99">
        <v>108022.49</v>
      </c>
      <c r="AI99">
        <v>108022.49</v>
      </c>
      <c r="AL99">
        <v>57062.75</v>
      </c>
      <c r="AM99">
        <v>57062.75</v>
      </c>
      <c r="AP99">
        <v>21314.89</v>
      </c>
      <c r="AQ99">
        <v>21314.89</v>
      </c>
      <c r="AW99">
        <v>12096.07</v>
      </c>
      <c r="AX99">
        <v>12096.07</v>
      </c>
      <c r="AY99">
        <v>198496.2</v>
      </c>
      <c r="BB99">
        <v>3095.1</v>
      </c>
      <c r="BC99">
        <v>3095.1</v>
      </c>
      <c r="BE99">
        <v>7018.31</v>
      </c>
      <c r="BF99">
        <v>7018.31</v>
      </c>
      <c r="BG99">
        <v>10113.41</v>
      </c>
      <c r="BH99">
        <v>3252.09</v>
      </c>
      <c r="BI99">
        <v>3252.09</v>
      </c>
      <c r="BK99">
        <v>10258.85</v>
      </c>
      <c r="BL99">
        <v>10258.85</v>
      </c>
      <c r="BM99">
        <v>13510.94</v>
      </c>
      <c r="BN99">
        <v>1307.27</v>
      </c>
      <c r="BO99">
        <v>1307.27</v>
      </c>
      <c r="BP99">
        <v>2944.76</v>
      </c>
      <c r="BQ99">
        <v>2944.76</v>
      </c>
      <c r="BR99">
        <v>4252.0300000000007</v>
      </c>
      <c r="BT99">
        <v>3004.1</v>
      </c>
      <c r="BU99">
        <v>3004.1</v>
      </c>
      <c r="BV99">
        <v>3004.1</v>
      </c>
      <c r="BW99">
        <v>316755.40000000008</v>
      </c>
      <c r="BX99" s="1"/>
      <c r="BY99" s="1"/>
    </row>
    <row r="100" spans="4:77">
      <c r="D100" s="3">
        <v>42191</v>
      </c>
      <c r="E100" s="11">
        <f t="shared" si="23"/>
        <v>314413.38999999996</v>
      </c>
      <c r="F100" s="4">
        <f t="shared" si="24"/>
        <v>191753.93000000002</v>
      </c>
      <c r="G100" s="4">
        <f t="shared" si="25"/>
        <v>0.60987838336019995</v>
      </c>
      <c r="H100" s="4">
        <f t="shared" si="37"/>
        <v>4164.71</v>
      </c>
      <c r="I100" s="4">
        <f t="shared" si="38"/>
        <v>3441.65</v>
      </c>
      <c r="J100" s="4">
        <f t="shared" si="26"/>
        <v>7606.3600000000006</v>
      </c>
      <c r="K100" s="4">
        <f t="shared" si="27"/>
        <v>17506.199999999997</v>
      </c>
      <c r="L100" s="4">
        <f t="shared" si="28"/>
        <v>25112.559999999998</v>
      </c>
      <c r="M100" s="4">
        <f t="shared" si="29"/>
        <v>7.9871153070166637E-2</v>
      </c>
      <c r="N100" s="4">
        <f t="shared" si="30"/>
        <v>22619.55</v>
      </c>
      <c r="O100" s="4">
        <f t="shared" si="31"/>
        <v>7.1942069642771903E-2</v>
      </c>
      <c r="P100" s="4">
        <f t="shared" si="32"/>
        <v>214373.48</v>
      </c>
      <c r="Q100" s="4">
        <f t="shared" ref="Q100:Q103" si="39">P100/E100</f>
        <v>0.68182045300297178</v>
      </c>
      <c r="R100" s="4">
        <v>94</v>
      </c>
      <c r="S100" s="4">
        <f t="shared" si="36"/>
        <v>212128.40710039655</v>
      </c>
      <c r="T100" s="4">
        <f t="shared" si="35"/>
        <v>0.67467993999999998</v>
      </c>
      <c r="U100" s="11">
        <f t="shared" si="33"/>
        <v>74927.349999999948</v>
      </c>
      <c r="V100" s="11">
        <f t="shared" si="34"/>
        <v>0.23830839392686157</v>
      </c>
      <c r="X100" s="3">
        <v>42191</v>
      </c>
      <c r="AA100">
        <v>4164.71</v>
      </c>
      <c r="AB100">
        <v>4164.71</v>
      </c>
      <c r="AC100">
        <v>9973.4599999999991</v>
      </c>
      <c r="AD100">
        <v>9973.4599999999991</v>
      </c>
      <c r="AE100">
        <v>14138.169999999998</v>
      </c>
      <c r="AH100">
        <v>100574.19</v>
      </c>
      <c r="AI100">
        <v>100574.19</v>
      </c>
      <c r="AL100">
        <v>58054.6</v>
      </c>
      <c r="AM100">
        <v>58054.6</v>
      </c>
      <c r="AP100">
        <v>21032.79</v>
      </c>
      <c r="AQ100">
        <v>21032.79</v>
      </c>
      <c r="AW100">
        <v>12092.35</v>
      </c>
      <c r="AX100">
        <v>12092.35</v>
      </c>
      <c r="AY100">
        <v>191753.93000000002</v>
      </c>
      <c r="BB100">
        <v>3441.65</v>
      </c>
      <c r="BC100">
        <v>3441.65</v>
      </c>
      <c r="BE100">
        <v>7532.74</v>
      </c>
      <c r="BF100">
        <v>7532.74</v>
      </c>
      <c r="BG100">
        <v>10974.39</v>
      </c>
      <c r="BH100">
        <v>3667.45</v>
      </c>
      <c r="BI100">
        <v>3667.45</v>
      </c>
      <c r="BK100">
        <v>11156.25</v>
      </c>
      <c r="BL100">
        <v>11156.25</v>
      </c>
      <c r="BM100">
        <v>14823.7</v>
      </c>
      <c r="BN100">
        <v>1457.05</v>
      </c>
      <c r="BO100">
        <v>1457.05</v>
      </c>
      <c r="BP100">
        <v>3134.64</v>
      </c>
      <c r="BQ100">
        <v>3134.64</v>
      </c>
      <c r="BR100">
        <v>4591.6899999999996</v>
      </c>
      <c r="BT100">
        <v>3204.16</v>
      </c>
      <c r="BU100">
        <v>3204.16</v>
      </c>
      <c r="BV100">
        <v>3204.16</v>
      </c>
      <c r="BW100">
        <v>314413.38999999996</v>
      </c>
      <c r="BX100" s="1"/>
      <c r="BY100" s="1"/>
    </row>
    <row r="101" spans="4:77">
      <c r="D101" s="3">
        <v>42198</v>
      </c>
      <c r="E101" s="11">
        <f t="shared" si="23"/>
        <v>305896.75</v>
      </c>
      <c r="F101" s="4">
        <f t="shared" si="24"/>
        <v>186711.52</v>
      </c>
      <c r="G101" s="4">
        <f t="shared" si="25"/>
        <v>0.61037431747803794</v>
      </c>
      <c r="H101" s="4">
        <f t="shared" si="37"/>
        <v>3433.97</v>
      </c>
      <c r="I101" s="4">
        <f t="shared" si="38"/>
        <v>2805.35</v>
      </c>
      <c r="J101" s="4">
        <f t="shared" si="26"/>
        <v>6239.32</v>
      </c>
      <c r="K101" s="4">
        <f t="shared" si="27"/>
        <v>18964.95</v>
      </c>
      <c r="L101" s="4">
        <f t="shared" si="28"/>
        <v>25204.27</v>
      </c>
      <c r="M101" s="4">
        <f t="shared" si="29"/>
        <v>8.2394696903448639E-2</v>
      </c>
      <c r="N101" s="4">
        <f t="shared" si="30"/>
        <v>22187.3</v>
      </c>
      <c r="O101" s="4">
        <f t="shared" si="31"/>
        <v>7.2531989960664831E-2</v>
      </c>
      <c r="P101" s="4">
        <f t="shared" si="32"/>
        <v>208898.81999999998</v>
      </c>
      <c r="Q101" s="4">
        <f t="shared" si="39"/>
        <v>0.68290630743870273</v>
      </c>
      <c r="R101" s="4">
        <v>95</v>
      </c>
      <c r="S101" s="4">
        <f t="shared" si="36"/>
        <v>206469.1257237875</v>
      </c>
      <c r="T101" s="4">
        <f t="shared" si="35"/>
        <v>0.67496345000000002</v>
      </c>
      <c r="U101" s="11">
        <f t="shared" si="33"/>
        <v>71793.660000000033</v>
      </c>
      <c r="V101" s="11">
        <f t="shared" si="34"/>
        <v>0.23469899565784871</v>
      </c>
      <c r="X101" s="3">
        <v>42198</v>
      </c>
      <c r="AA101">
        <v>3433.97</v>
      </c>
      <c r="AB101">
        <v>3433.97</v>
      </c>
      <c r="AC101">
        <v>10816.74</v>
      </c>
      <c r="AD101">
        <v>10816.74</v>
      </c>
      <c r="AE101">
        <v>14250.71</v>
      </c>
      <c r="AH101">
        <v>94112.01</v>
      </c>
      <c r="AI101">
        <v>94112.01</v>
      </c>
      <c r="AL101">
        <v>59330.36</v>
      </c>
      <c r="AM101">
        <v>59330.36</v>
      </c>
      <c r="AP101">
        <v>21059.27</v>
      </c>
      <c r="AQ101">
        <v>21059.27</v>
      </c>
      <c r="AW101">
        <v>12209.88</v>
      </c>
      <c r="AX101">
        <v>12209.88</v>
      </c>
      <c r="AY101">
        <v>186711.52</v>
      </c>
      <c r="BB101">
        <v>2805.35</v>
      </c>
      <c r="BC101">
        <v>2805.35</v>
      </c>
      <c r="BE101">
        <v>8148.21</v>
      </c>
      <c r="BF101">
        <v>8148.21</v>
      </c>
      <c r="BG101">
        <v>10953.56</v>
      </c>
      <c r="BH101">
        <v>2971.32</v>
      </c>
      <c r="BI101">
        <v>2971.32</v>
      </c>
      <c r="BK101">
        <v>11529.36</v>
      </c>
      <c r="BL101">
        <v>11529.36</v>
      </c>
      <c r="BM101">
        <v>14500.68</v>
      </c>
      <c r="BN101">
        <v>1076.1400000000001</v>
      </c>
      <c r="BO101">
        <v>1076.1400000000001</v>
      </c>
      <c r="BP101">
        <v>3267.77</v>
      </c>
      <c r="BQ101">
        <v>3267.77</v>
      </c>
      <c r="BR101">
        <v>4343.91</v>
      </c>
      <c r="BT101">
        <v>3342.71</v>
      </c>
      <c r="BU101">
        <v>3342.71</v>
      </c>
      <c r="BV101">
        <v>3342.71</v>
      </c>
      <c r="BW101">
        <v>305896.75</v>
      </c>
      <c r="BX101" s="1"/>
      <c r="BY101" s="1"/>
    </row>
    <row r="102" spans="4:77">
      <c r="D102" s="3">
        <v>42205</v>
      </c>
      <c r="E102" s="11">
        <f t="shared" si="23"/>
        <v>302373.36</v>
      </c>
      <c r="F102" s="4">
        <f t="shared" si="24"/>
        <v>185849.98</v>
      </c>
      <c r="G102" s="4">
        <f t="shared" si="25"/>
        <v>0.61463741382508041</v>
      </c>
      <c r="H102" s="4">
        <f t="shared" si="37"/>
        <v>2961.04</v>
      </c>
      <c r="I102" s="4">
        <f t="shared" si="38"/>
        <v>2423.35</v>
      </c>
      <c r="J102" s="4">
        <f t="shared" si="26"/>
        <v>5384.3899999999994</v>
      </c>
      <c r="K102" s="4">
        <f t="shared" si="27"/>
        <v>18900.36</v>
      </c>
      <c r="L102" s="4">
        <f t="shared" si="28"/>
        <v>24284.75</v>
      </c>
      <c r="M102" s="4">
        <f t="shared" si="29"/>
        <v>8.0313788225259003E-2</v>
      </c>
      <c r="N102" s="4">
        <f t="shared" si="30"/>
        <v>21432.090000000004</v>
      </c>
      <c r="O102" s="4">
        <f t="shared" si="31"/>
        <v>7.0879557643570207E-2</v>
      </c>
      <c r="P102" s="4">
        <f t="shared" si="32"/>
        <v>207282.07</v>
      </c>
      <c r="Q102" s="4">
        <f t="shared" si="39"/>
        <v>0.68551697146865065</v>
      </c>
      <c r="R102" s="4">
        <v>96</v>
      </c>
      <c r="S102" s="4">
        <f t="shared" si="36"/>
        <v>204176.69212498557</v>
      </c>
      <c r="T102" s="4">
        <f t="shared" si="35"/>
        <v>0.67524695999999995</v>
      </c>
      <c r="U102" s="11">
        <f t="shared" si="33"/>
        <v>70806.539999999979</v>
      </c>
      <c r="V102" s="11">
        <f t="shared" si="34"/>
        <v>0.2341692403060904</v>
      </c>
      <c r="X102" s="3">
        <v>42205</v>
      </c>
      <c r="AA102">
        <v>2961.04</v>
      </c>
      <c r="AB102">
        <v>2961.04</v>
      </c>
      <c r="AC102">
        <v>11152.55</v>
      </c>
      <c r="AD102">
        <v>11152.55</v>
      </c>
      <c r="AE102">
        <v>14113.59</v>
      </c>
      <c r="AH102">
        <v>92505.71</v>
      </c>
      <c r="AI102">
        <v>92505.71</v>
      </c>
      <c r="AL102">
        <v>59974.06</v>
      </c>
      <c r="AM102">
        <v>59974.06</v>
      </c>
      <c r="AP102">
        <v>21073.52</v>
      </c>
      <c r="AQ102">
        <v>21073.52</v>
      </c>
      <c r="AW102">
        <v>12296.69</v>
      </c>
      <c r="AX102">
        <v>12296.69</v>
      </c>
      <c r="AY102">
        <v>185849.98</v>
      </c>
      <c r="BB102">
        <v>2423.35</v>
      </c>
      <c r="BC102">
        <v>2423.35</v>
      </c>
      <c r="BE102">
        <v>7747.81</v>
      </c>
      <c r="BF102">
        <v>7747.81</v>
      </c>
      <c r="BG102">
        <v>10171.16</v>
      </c>
      <c r="BH102">
        <v>2600.63</v>
      </c>
      <c r="BI102">
        <v>2600.63</v>
      </c>
      <c r="BK102">
        <v>11405.07</v>
      </c>
      <c r="BL102">
        <v>11405.07</v>
      </c>
      <c r="BM102">
        <v>14005.7</v>
      </c>
      <c r="BN102">
        <v>904.12</v>
      </c>
      <c r="BO102">
        <v>904.12</v>
      </c>
      <c r="BP102">
        <v>3217.62</v>
      </c>
      <c r="BQ102">
        <v>3217.62</v>
      </c>
      <c r="BR102">
        <v>4121.74</v>
      </c>
      <c r="BT102">
        <v>3304.65</v>
      </c>
      <c r="BU102">
        <v>3304.65</v>
      </c>
      <c r="BV102">
        <v>3304.65</v>
      </c>
      <c r="BW102">
        <v>302373.36</v>
      </c>
      <c r="BX102" s="1"/>
      <c r="BY102" s="1"/>
    </row>
    <row r="103" spans="4:77">
      <c r="D103" s="3">
        <v>42212</v>
      </c>
      <c r="E103" s="11">
        <f t="shared" si="23"/>
        <v>324525.3</v>
      </c>
      <c r="F103" s="4">
        <f t="shared" si="24"/>
        <v>199491.72</v>
      </c>
      <c r="G103" s="4">
        <f t="shared" si="25"/>
        <v>0.61471854428606953</v>
      </c>
      <c r="H103" s="4">
        <f t="shared" si="37"/>
        <v>3476.52</v>
      </c>
      <c r="I103" s="4">
        <f t="shared" si="38"/>
        <v>2956.14</v>
      </c>
      <c r="J103" s="4">
        <f t="shared" si="26"/>
        <v>6432.66</v>
      </c>
      <c r="K103" s="4">
        <f t="shared" si="27"/>
        <v>19530.599999999999</v>
      </c>
      <c r="L103" s="4">
        <f t="shared" si="28"/>
        <v>25963.26</v>
      </c>
      <c r="M103" s="4">
        <f t="shared" si="29"/>
        <v>8.0003808639881074E-2</v>
      </c>
      <c r="N103" s="4">
        <f t="shared" si="30"/>
        <v>22245.63</v>
      </c>
      <c r="O103" s="4">
        <f t="shared" si="31"/>
        <v>6.8548214884941186E-2</v>
      </c>
      <c r="P103" s="4">
        <f t="shared" si="32"/>
        <v>221737.35</v>
      </c>
      <c r="Q103" s="4">
        <f t="shared" si="39"/>
        <v>0.68326675917101076</v>
      </c>
      <c r="R103" s="4">
        <v>97</v>
      </c>
      <c r="S103" s="4">
        <f t="shared" ref="S103" si="40">T103*E103</f>
        <v>219226.72843589098</v>
      </c>
      <c r="T103" s="4">
        <f t="shared" si="35"/>
        <v>0.67553046999999999</v>
      </c>
      <c r="U103" s="11">
        <f t="shared" si="33"/>
        <v>76824.689999999973</v>
      </c>
      <c r="V103" s="11">
        <f t="shared" si="34"/>
        <v>0.23672943218910814</v>
      </c>
      <c r="X103" s="3">
        <v>42212</v>
      </c>
      <c r="AA103">
        <v>3476.52</v>
      </c>
      <c r="AB103">
        <v>3476.52</v>
      </c>
      <c r="AC103">
        <v>11314.29</v>
      </c>
      <c r="AD103">
        <v>11314.29</v>
      </c>
      <c r="AE103">
        <v>14790.810000000001</v>
      </c>
      <c r="AH103">
        <v>103356.11</v>
      </c>
      <c r="AI103">
        <v>103356.11</v>
      </c>
      <c r="AL103">
        <v>62016.35</v>
      </c>
      <c r="AM103">
        <v>62016.35</v>
      </c>
      <c r="AP103">
        <v>21692.19</v>
      </c>
      <c r="AQ103">
        <v>21692.19</v>
      </c>
      <c r="AW103">
        <v>12427.07</v>
      </c>
      <c r="AX103">
        <v>12427.07</v>
      </c>
      <c r="AY103">
        <v>199491.72</v>
      </c>
      <c r="BB103">
        <v>2956.14</v>
      </c>
      <c r="BC103">
        <v>2956.14</v>
      </c>
      <c r="BE103">
        <v>8216.31</v>
      </c>
      <c r="BF103">
        <v>8216.31</v>
      </c>
      <c r="BG103">
        <v>11172.449999999999</v>
      </c>
      <c r="BH103">
        <v>3198.32</v>
      </c>
      <c r="BI103">
        <v>3198.32</v>
      </c>
      <c r="BK103">
        <v>11530.34</v>
      </c>
      <c r="BL103">
        <v>11530.34</v>
      </c>
      <c r="BM103">
        <v>14728.66</v>
      </c>
      <c r="BN103">
        <v>944.87</v>
      </c>
      <c r="BO103">
        <v>944.87</v>
      </c>
      <c r="BP103">
        <v>3282.8</v>
      </c>
      <c r="BQ103">
        <v>3282.8</v>
      </c>
      <c r="BR103">
        <v>4227.67</v>
      </c>
      <c r="BT103">
        <v>3289.3</v>
      </c>
      <c r="BU103">
        <v>3289.3</v>
      </c>
      <c r="BV103">
        <v>3289.3</v>
      </c>
      <c r="BW103">
        <v>324525.3</v>
      </c>
      <c r="BX103" s="1"/>
      <c r="BY103" s="1"/>
    </row>
    <row r="104" spans="4:77" s="4" customFormat="1">
      <c r="D104" s="3"/>
      <c r="E104" s="11"/>
      <c r="U104" s="11"/>
      <c r="V104" s="11"/>
      <c r="X104" s="3"/>
      <c r="BX104" s="1"/>
      <c r="BY104" s="1"/>
    </row>
    <row r="105" spans="4:77" s="4" customFormat="1">
      <c r="D105" s="3"/>
      <c r="E105" s="11"/>
      <c r="U105" s="11"/>
      <c r="V105" s="11"/>
      <c r="X105" s="3"/>
      <c r="BX105" s="1"/>
      <c r="BY105" s="1"/>
    </row>
    <row r="106" spans="4:77">
      <c r="D106" s="3">
        <v>42219</v>
      </c>
      <c r="E106" s="11">
        <f t="shared" si="23"/>
        <v>313129.4200000001</v>
      </c>
      <c r="F106" s="4">
        <f t="shared" si="24"/>
        <v>192670.30000000002</v>
      </c>
      <c r="G106" s="4">
        <f t="shared" si="25"/>
        <v>0.61530564582529468</v>
      </c>
      <c r="H106" s="4">
        <f t="shared" si="37"/>
        <v>3657.49</v>
      </c>
      <c r="I106" s="4">
        <f t="shared" si="38"/>
        <v>2901.64</v>
      </c>
      <c r="J106" s="4">
        <f t="shared" si="26"/>
        <v>6559.1299999999992</v>
      </c>
      <c r="K106" s="4">
        <f t="shared" si="27"/>
        <v>19367.48</v>
      </c>
      <c r="L106" s="4">
        <f t="shared" si="28"/>
        <v>25926.61</v>
      </c>
      <c r="M106" s="4">
        <f t="shared" si="29"/>
        <v>8.2798384131392039E-2</v>
      </c>
      <c r="N106" s="4">
        <f t="shared" ref="N106:N111" si="41">SUM(BM106,BR106,BV106)</f>
        <v>22135.09</v>
      </c>
      <c r="O106" s="4">
        <f t="shared" si="31"/>
        <v>7.0689908345245855E-2</v>
      </c>
      <c r="P106" s="4">
        <f t="shared" si="32"/>
        <v>214805.39</v>
      </c>
      <c r="Q106" s="4">
        <f t="shared" ref="Q106:Q111" si="42">P106/E106</f>
        <v>0.68599555417054059</v>
      </c>
      <c r="R106" s="4">
        <v>98</v>
      </c>
      <c r="S106" s="4">
        <f>T106*E106</f>
        <v>211617.23958529168</v>
      </c>
      <c r="T106" s="4">
        <f t="shared" si="35"/>
        <v>0.67581398000000004</v>
      </c>
      <c r="U106" s="11">
        <f t="shared" si="33"/>
        <v>72397.420000000071</v>
      </c>
      <c r="V106" s="11">
        <f t="shared" si="34"/>
        <v>0.23120606169806737</v>
      </c>
      <c r="X106" s="3">
        <v>42219</v>
      </c>
      <c r="AA106">
        <v>3657.49</v>
      </c>
      <c r="AB106">
        <v>3657.49</v>
      </c>
      <c r="AC106">
        <v>11333.8</v>
      </c>
      <c r="AD106">
        <v>11333.8</v>
      </c>
      <c r="AE106">
        <v>14991.289999999999</v>
      </c>
      <c r="AH106">
        <v>89949.63</v>
      </c>
      <c r="AI106">
        <v>89949.63</v>
      </c>
      <c r="AL106">
        <v>71592</v>
      </c>
      <c r="AM106">
        <v>71592</v>
      </c>
      <c r="AP106">
        <v>19520.07</v>
      </c>
      <c r="AQ106">
        <v>19520.07</v>
      </c>
      <c r="AW106">
        <v>11608.6</v>
      </c>
      <c r="AX106">
        <v>11608.6</v>
      </c>
      <c r="AY106">
        <v>192670.30000000002</v>
      </c>
      <c r="BB106">
        <v>2901.64</v>
      </c>
      <c r="BC106">
        <v>2901.64</v>
      </c>
      <c r="BE106">
        <v>8033.68</v>
      </c>
      <c r="BF106">
        <v>8033.68</v>
      </c>
      <c r="BG106">
        <v>10935.32</v>
      </c>
      <c r="BH106">
        <v>3416.11</v>
      </c>
      <c r="BI106">
        <v>3416.11</v>
      </c>
      <c r="BK106">
        <v>11572.52</v>
      </c>
      <c r="BL106">
        <v>11572.52</v>
      </c>
      <c r="BM106">
        <v>14988.630000000001</v>
      </c>
      <c r="BN106">
        <v>711.31</v>
      </c>
      <c r="BO106">
        <v>711.31</v>
      </c>
      <c r="BP106">
        <v>3257.46</v>
      </c>
      <c r="BQ106">
        <v>3257.46</v>
      </c>
      <c r="BR106">
        <v>3968.77</v>
      </c>
      <c r="BT106">
        <v>3177.69</v>
      </c>
      <c r="BU106">
        <v>3177.69</v>
      </c>
      <c r="BV106">
        <v>3177.69</v>
      </c>
      <c r="BW106">
        <v>313129.4200000001</v>
      </c>
      <c r="BX106" s="1"/>
      <c r="BY106" s="1"/>
    </row>
    <row r="107" spans="4:77">
      <c r="D107" s="3">
        <v>42226</v>
      </c>
      <c r="E107" s="11">
        <f t="shared" si="23"/>
        <v>317023.62999999995</v>
      </c>
      <c r="F107" s="4">
        <f t="shared" si="24"/>
        <v>195749.27</v>
      </c>
      <c r="G107" s="4">
        <f t="shared" si="25"/>
        <v>0.61745955656365437</v>
      </c>
      <c r="H107" s="4">
        <f t="shared" si="37"/>
        <v>3474.27</v>
      </c>
      <c r="I107" s="4">
        <f t="shared" si="38"/>
        <v>2789.04</v>
      </c>
      <c r="J107" s="4">
        <f t="shared" si="26"/>
        <v>6263.3099999999995</v>
      </c>
      <c r="K107" s="4">
        <f t="shared" si="27"/>
        <v>19596.77</v>
      </c>
      <c r="L107" s="4">
        <f t="shared" si="28"/>
        <v>25860.080000000002</v>
      </c>
      <c r="M107" s="4">
        <f t="shared" si="29"/>
        <v>8.1571458884626385E-2</v>
      </c>
      <c r="N107" s="4">
        <f t="shared" si="41"/>
        <v>21218.18</v>
      </c>
      <c r="O107" s="4">
        <f t="shared" si="31"/>
        <v>6.692933268097398E-2</v>
      </c>
      <c r="P107" s="4">
        <f t="shared" si="32"/>
        <v>216967.44999999998</v>
      </c>
      <c r="Q107" s="4">
        <f t="shared" si="42"/>
        <v>0.68438888924462826</v>
      </c>
      <c r="R107" s="4">
        <v>99</v>
      </c>
      <c r="S107" s="4">
        <f>T107*E107</f>
        <v>214338.88051368867</v>
      </c>
      <c r="T107" s="4">
        <f t="shared" si="35"/>
        <v>0.67609748999999997</v>
      </c>
      <c r="U107" s="11">
        <f t="shared" si="33"/>
        <v>74196.099999999977</v>
      </c>
      <c r="V107" s="11">
        <f t="shared" si="34"/>
        <v>0.23403965187074538</v>
      </c>
      <c r="X107" s="3">
        <v>42226</v>
      </c>
      <c r="AA107">
        <v>3474.27</v>
      </c>
      <c r="AB107">
        <v>3474.27</v>
      </c>
      <c r="AC107">
        <v>11477.16</v>
      </c>
      <c r="AD107">
        <v>11477.16</v>
      </c>
      <c r="AE107">
        <v>14951.43</v>
      </c>
      <c r="AH107">
        <v>95427.16</v>
      </c>
      <c r="AI107">
        <v>95427.16</v>
      </c>
      <c r="AL107">
        <v>68160.27</v>
      </c>
      <c r="AM107">
        <v>68160.27</v>
      </c>
      <c r="AP107">
        <v>20016.57</v>
      </c>
      <c r="AQ107">
        <v>20016.57</v>
      </c>
      <c r="AW107">
        <v>12145.27</v>
      </c>
      <c r="AX107">
        <v>12145.27</v>
      </c>
      <c r="AY107">
        <v>195749.27</v>
      </c>
      <c r="BB107">
        <v>2789.04</v>
      </c>
      <c r="BC107">
        <v>2789.04</v>
      </c>
      <c r="BE107">
        <v>8119.61</v>
      </c>
      <c r="BF107">
        <v>8119.61</v>
      </c>
      <c r="BG107">
        <v>10908.65</v>
      </c>
      <c r="BH107">
        <v>3383.88</v>
      </c>
      <c r="BI107">
        <v>3383.88</v>
      </c>
      <c r="BK107">
        <v>11689.06</v>
      </c>
      <c r="BL107">
        <v>11689.06</v>
      </c>
      <c r="BM107">
        <v>15072.939999999999</v>
      </c>
      <c r="BN107">
        <v>650.41</v>
      </c>
      <c r="BO107">
        <v>650.41</v>
      </c>
      <c r="BP107">
        <v>2590.83</v>
      </c>
      <c r="BQ107">
        <v>2590.83</v>
      </c>
      <c r="BR107">
        <v>3241.24</v>
      </c>
      <c r="BT107">
        <v>2904</v>
      </c>
      <c r="BU107">
        <v>2904</v>
      </c>
      <c r="BV107">
        <v>2904</v>
      </c>
      <c r="BW107">
        <v>317023.62999999995</v>
      </c>
      <c r="BX107" s="1"/>
      <c r="BY107" s="1"/>
    </row>
    <row r="108" spans="4:77">
      <c r="D108" s="3">
        <v>42233</v>
      </c>
      <c r="E108" s="11">
        <f t="shared" si="23"/>
        <v>315886.39999999991</v>
      </c>
      <c r="F108" s="4">
        <f t="shared" si="24"/>
        <v>197397.83</v>
      </c>
      <c r="G108" s="4">
        <f t="shared" si="25"/>
        <v>0.62490132528655884</v>
      </c>
      <c r="H108" s="4">
        <f t="shared" si="37"/>
        <v>3596.98</v>
      </c>
      <c r="I108" s="4">
        <f t="shared" si="38"/>
        <v>2823.25</v>
      </c>
      <c r="J108" s="4">
        <f t="shared" si="26"/>
        <v>6420.23</v>
      </c>
      <c r="K108" s="4">
        <f t="shared" si="27"/>
        <v>19219.53</v>
      </c>
      <c r="L108" s="4">
        <f t="shared" si="28"/>
        <v>25639.759999999998</v>
      </c>
      <c r="M108" s="4">
        <f t="shared" si="29"/>
        <v>8.1167660272806946E-2</v>
      </c>
      <c r="N108" s="4">
        <f t="shared" si="41"/>
        <v>19367.190000000002</v>
      </c>
      <c r="O108" s="4">
        <f t="shared" si="31"/>
        <v>6.1310616728038968E-2</v>
      </c>
      <c r="P108" s="4">
        <f t="shared" si="32"/>
        <v>216765.02</v>
      </c>
      <c r="Q108" s="4">
        <f t="shared" si="42"/>
        <v>0.68621194201459779</v>
      </c>
      <c r="R108" s="4">
        <v>100</v>
      </c>
      <c r="S108" s="4">
        <f>T108*E108</f>
        <v>213659.55911839995</v>
      </c>
      <c r="T108" s="4">
        <f t="shared" si="35"/>
        <v>0.67638100000000001</v>
      </c>
      <c r="U108" s="11">
        <f t="shared" si="33"/>
        <v>73481.619999999908</v>
      </c>
      <c r="V108" s="11">
        <f t="shared" si="34"/>
        <v>0.23262039771259518</v>
      </c>
      <c r="X108" s="3">
        <v>42233</v>
      </c>
      <c r="AA108">
        <v>3596.98</v>
      </c>
      <c r="AB108">
        <v>3596.98</v>
      </c>
      <c r="AC108">
        <v>11154.51</v>
      </c>
      <c r="AD108">
        <v>11154.51</v>
      </c>
      <c r="AE108">
        <v>14751.49</v>
      </c>
      <c r="AH108">
        <v>97571.89</v>
      </c>
      <c r="AI108">
        <v>97571.89</v>
      </c>
      <c r="AL108">
        <v>66667.91</v>
      </c>
      <c r="AM108">
        <v>66667.91</v>
      </c>
      <c r="AP108">
        <v>20873.740000000002</v>
      </c>
      <c r="AQ108">
        <v>20873.740000000002</v>
      </c>
      <c r="AW108">
        <v>12284.29</v>
      </c>
      <c r="AX108">
        <v>12284.29</v>
      </c>
      <c r="AY108">
        <v>197397.83</v>
      </c>
      <c r="BB108">
        <v>2823.25</v>
      </c>
      <c r="BC108">
        <v>2823.25</v>
      </c>
      <c r="BE108">
        <v>8065.02</v>
      </c>
      <c r="BF108">
        <v>8065.02</v>
      </c>
      <c r="BG108">
        <v>10888.27</v>
      </c>
      <c r="BH108">
        <v>3092.41</v>
      </c>
      <c r="BI108">
        <v>3092.41</v>
      </c>
      <c r="BK108">
        <v>11445.63</v>
      </c>
      <c r="BL108">
        <v>11445.63</v>
      </c>
      <c r="BM108">
        <v>14538.039999999999</v>
      </c>
      <c r="BN108">
        <v>-54.46</v>
      </c>
      <c r="BO108">
        <v>-54.46</v>
      </c>
      <c r="BP108">
        <v>2196.0300000000002</v>
      </c>
      <c r="BQ108">
        <v>2196.0300000000002</v>
      </c>
      <c r="BR108">
        <v>2141.5700000000002</v>
      </c>
      <c r="BT108">
        <v>2687.58</v>
      </c>
      <c r="BU108">
        <v>2687.58</v>
      </c>
      <c r="BV108">
        <v>2687.58</v>
      </c>
      <c r="BW108">
        <v>315886.39999999991</v>
      </c>
      <c r="BX108" s="1"/>
      <c r="BY108" s="1"/>
    </row>
    <row r="109" spans="4:77">
      <c r="D109" s="3">
        <v>42240</v>
      </c>
      <c r="E109" s="11">
        <f t="shared" si="23"/>
        <v>321228.56999999995</v>
      </c>
      <c r="F109" s="4">
        <f t="shared" si="24"/>
        <v>202696.69</v>
      </c>
      <c r="G109" s="4">
        <f t="shared" si="25"/>
        <v>0.63100455230367591</v>
      </c>
      <c r="H109" s="4">
        <f t="shared" si="37"/>
        <v>3534.93</v>
      </c>
      <c r="I109" s="4">
        <f t="shared" si="38"/>
        <v>2911.19</v>
      </c>
      <c r="J109" s="4">
        <f t="shared" si="26"/>
        <v>6446.12</v>
      </c>
      <c r="K109" s="4">
        <f t="shared" si="27"/>
        <v>19417.66</v>
      </c>
      <c r="L109" s="4">
        <f t="shared" si="28"/>
        <v>25863.78</v>
      </c>
      <c r="M109" s="4">
        <f t="shared" si="29"/>
        <v>8.0515192032887997E-2</v>
      </c>
      <c r="N109" s="4">
        <f t="shared" si="41"/>
        <v>18370.650000000001</v>
      </c>
      <c r="O109" s="4">
        <f t="shared" si="31"/>
        <v>5.7188717678505384E-2</v>
      </c>
      <c r="P109" s="4">
        <f t="shared" si="32"/>
        <v>221067.34</v>
      </c>
      <c r="Q109" s="4">
        <f t="shared" si="42"/>
        <v>0.68819326998218133</v>
      </c>
      <c r="R109" s="4">
        <v>101</v>
      </c>
      <c r="S109" s="4">
        <f>T109*E109</f>
        <v>217363.97291705065</v>
      </c>
      <c r="T109" s="4">
        <f t="shared" si="35"/>
        <v>0.67666450999999994</v>
      </c>
      <c r="U109" s="11">
        <f t="shared" si="33"/>
        <v>74297.449999999953</v>
      </c>
      <c r="V109" s="11">
        <f t="shared" si="34"/>
        <v>0.23129153798493068</v>
      </c>
      <c r="X109" s="3">
        <v>42240</v>
      </c>
      <c r="AA109">
        <v>3534.93</v>
      </c>
      <c r="AB109">
        <v>3534.93</v>
      </c>
      <c r="AC109">
        <v>11268.65</v>
      </c>
      <c r="AD109">
        <v>11268.65</v>
      </c>
      <c r="AE109">
        <v>14803.58</v>
      </c>
      <c r="AH109">
        <v>101468.2</v>
      </c>
      <c r="AI109">
        <v>101468.2</v>
      </c>
      <c r="AL109">
        <v>67668.259999999995</v>
      </c>
      <c r="AM109">
        <v>67668.259999999995</v>
      </c>
      <c r="AP109">
        <v>21123.95</v>
      </c>
      <c r="AQ109">
        <v>21123.95</v>
      </c>
      <c r="AW109">
        <v>12436.28</v>
      </c>
      <c r="AX109">
        <v>12436.28</v>
      </c>
      <c r="AY109">
        <v>202696.69</v>
      </c>
      <c r="BB109">
        <v>2911.19</v>
      </c>
      <c r="BC109">
        <v>2911.19</v>
      </c>
      <c r="BE109">
        <v>8149.01</v>
      </c>
      <c r="BF109">
        <v>8149.01</v>
      </c>
      <c r="BG109">
        <v>11060.2</v>
      </c>
      <c r="BH109">
        <v>3283.93</v>
      </c>
      <c r="BI109">
        <v>3283.93</v>
      </c>
      <c r="BK109">
        <v>11449</v>
      </c>
      <c r="BL109">
        <v>11449</v>
      </c>
      <c r="BM109">
        <v>14732.93</v>
      </c>
      <c r="BN109">
        <v>-601.62</v>
      </c>
      <c r="BO109">
        <v>-601.62</v>
      </c>
      <c r="BP109">
        <v>1679.56</v>
      </c>
      <c r="BQ109">
        <v>1679.56</v>
      </c>
      <c r="BR109">
        <v>1077.94</v>
      </c>
      <c r="BT109">
        <v>2559.7800000000002</v>
      </c>
      <c r="BU109">
        <v>2559.7800000000002</v>
      </c>
      <c r="BV109">
        <v>2559.7800000000002</v>
      </c>
      <c r="BW109">
        <v>321228.56999999995</v>
      </c>
    </row>
    <row r="110" spans="4:77">
      <c r="D110" s="3">
        <v>42247</v>
      </c>
      <c r="E110" s="11">
        <f t="shared" si="23"/>
        <v>258989.17999999996</v>
      </c>
      <c r="F110" s="4">
        <f t="shared" si="24"/>
        <v>163144.32000000001</v>
      </c>
      <c r="G110" s="4">
        <f t="shared" si="25"/>
        <v>0.62992716529702142</v>
      </c>
      <c r="H110" s="4">
        <f t="shared" si="37"/>
        <v>2946.8</v>
      </c>
      <c r="I110" s="4">
        <f t="shared" si="38"/>
        <v>2388.4299999999998</v>
      </c>
      <c r="J110" s="4">
        <f t="shared" si="26"/>
        <v>5335.23</v>
      </c>
      <c r="K110" s="4">
        <f t="shared" si="27"/>
        <v>14556.18</v>
      </c>
      <c r="L110" s="4">
        <f t="shared" si="28"/>
        <v>19891.41</v>
      </c>
      <c r="M110" s="4">
        <f t="shared" si="29"/>
        <v>7.6804019380269095E-2</v>
      </c>
      <c r="N110" s="4">
        <f t="shared" si="41"/>
        <v>13569.18</v>
      </c>
      <c r="O110" s="4">
        <f t="shared" si="31"/>
        <v>5.239284513739146E-2</v>
      </c>
      <c r="P110" s="4">
        <f t="shared" si="32"/>
        <v>176713.5</v>
      </c>
      <c r="Q110" s="4">
        <f t="shared" si="42"/>
        <v>0.68232001043441282</v>
      </c>
      <c r="R110" s="4">
        <v>102</v>
      </c>
      <c r="S110" s="4">
        <f>T110*E110</f>
        <v>175322.21260242356</v>
      </c>
      <c r="T110" s="4">
        <f t="shared" si="35"/>
        <v>0.67694801999999998</v>
      </c>
      <c r="U110" s="11">
        <f t="shared" si="33"/>
        <v>62384.26999999996</v>
      </c>
      <c r="V110" s="11">
        <f t="shared" si="34"/>
        <v>0.24087597018531803</v>
      </c>
      <c r="X110" s="3">
        <v>42247</v>
      </c>
      <c r="AA110">
        <v>2946.8</v>
      </c>
      <c r="AB110">
        <v>2946.8</v>
      </c>
      <c r="AC110">
        <v>8369.08</v>
      </c>
      <c r="AD110">
        <v>8369.08</v>
      </c>
      <c r="AE110">
        <v>11315.880000000001</v>
      </c>
      <c r="AH110">
        <v>85585.77</v>
      </c>
      <c r="AI110">
        <v>85585.77</v>
      </c>
      <c r="AL110">
        <v>48943.64</v>
      </c>
      <c r="AM110">
        <v>48943.64</v>
      </c>
      <c r="AP110">
        <v>18306.21</v>
      </c>
      <c r="AQ110">
        <v>18306.21</v>
      </c>
      <c r="AW110">
        <v>10308.700000000001</v>
      </c>
      <c r="AX110">
        <v>10308.700000000001</v>
      </c>
      <c r="AY110">
        <v>163144.32000000001</v>
      </c>
      <c r="BB110">
        <v>2388.4299999999998</v>
      </c>
      <c r="BC110">
        <v>2388.4299999999998</v>
      </c>
      <c r="BE110">
        <v>6187.1</v>
      </c>
      <c r="BF110">
        <v>6187.1</v>
      </c>
      <c r="BG110">
        <v>8575.5300000000007</v>
      </c>
      <c r="BH110">
        <v>2856.83</v>
      </c>
      <c r="BI110">
        <v>2856.83</v>
      </c>
      <c r="BK110">
        <v>8975.06</v>
      </c>
      <c r="BL110">
        <v>8975.06</v>
      </c>
      <c r="BM110">
        <v>11831.89</v>
      </c>
      <c r="BN110">
        <v>-1461.59</v>
      </c>
      <c r="BO110">
        <v>-1461.59</v>
      </c>
      <c r="BP110">
        <v>1167.72</v>
      </c>
      <c r="BQ110">
        <v>1167.72</v>
      </c>
      <c r="BR110">
        <v>-293.86999999999989</v>
      </c>
      <c r="BT110">
        <v>2031.16</v>
      </c>
      <c r="BU110">
        <v>2031.16</v>
      </c>
      <c r="BV110">
        <v>2031.16</v>
      </c>
      <c r="BW110">
        <v>258989.17999999996</v>
      </c>
    </row>
    <row r="111" spans="4:77" s="5" customFormat="1">
      <c r="D111" s="26" t="s">
        <v>16</v>
      </c>
      <c r="E111" s="25">
        <f t="shared" ref="E111" si="43">BW111</f>
        <v>29197312.059999995</v>
      </c>
      <c r="F111" s="5">
        <f t="shared" ref="F111" si="44">AY111</f>
        <v>18658052.749999996</v>
      </c>
      <c r="G111" s="5">
        <f t="shared" ref="G111" si="45">F111/E111</f>
        <v>0.63903323400654166</v>
      </c>
      <c r="H111" s="5">
        <f t="shared" ref="H111" si="46">AB111-Z111-Y111-BX111</f>
        <v>111751.04999999999</v>
      </c>
      <c r="I111" s="5">
        <f t="shared" ref="I111" si="47">BC111-BA111-AZ111-BY111</f>
        <v>89907.72000000051</v>
      </c>
      <c r="J111" s="5">
        <f t="shared" ref="J111" si="48">SUM(H111:I111)</f>
        <v>201658.77000000048</v>
      </c>
      <c r="K111" s="5">
        <f t="shared" ref="K111" si="49">SUM(AD111,BF111)</f>
        <v>589090.19999999995</v>
      </c>
      <c r="L111" s="5">
        <f t="shared" ref="L111" si="50">SUM(J111:K111)</f>
        <v>790748.97000000044</v>
      </c>
      <c r="M111" s="5">
        <f t="shared" ref="M111" si="51">L111/E111</f>
        <v>2.7082937236654673E-2</v>
      </c>
      <c r="N111" s="5">
        <f t="shared" si="41"/>
        <v>860851.47999999986</v>
      </c>
      <c r="O111" s="5">
        <f t="shared" ref="O111" si="52">N111/E111</f>
        <v>2.9483929144948833E-2</v>
      </c>
      <c r="P111" s="5">
        <f t="shared" ref="P111" si="53">SUM(F111,N111)</f>
        <v>19518904.229999997</v>
      </c>
      <c r="Q111" s="5">
        <f t="shared" si="42"/>
        <v>0.66851716315149046</v>
      </c>
      <c r="U111" s="25">
        <f t="shared" ref="U111" si="54">E111-SUM(F111,L111,N111)</f>
        <v>8887658.8599999994</v>
      </c>
      <c r="V111" s="25">
        <f t="shared" ref="V111" si="55">U111/E111</f>
        <v>0.30439989961185493</v>
      </c>
      <c r="X111" s="26" t="s">
        <v>16</v>
      </c>
      <c r="Y111" s="5">
        <v>188804.27000000002</v>
      </c>
      <c r="Z111" s="5">
        <v>602060.15</v>
      </c>
      <c r="AA111" s="5">
        <v>144058.97999999998</v>
      </c>
      <c r="AB111" s="5">
        <v>934923.4</v>
      </c>
      <c r="AC111" s="5">
        <v>330638.06999999995</v>
      </c>
      <c r="AD111" s="5">
        <v>330638.06999999995</v>
      </c>
      <c r="AE111" s="5">
        <v>1265561.47</v>
      </c>
      <c r="AF111" s="5">
        <v>1510135.55</v>
      </c>
      <c r="AG111" s="5">
        <v>5076030.41</v>
      </c>
      <c r="AH111" s="5">
        <v>3322047.49</v>
      </c>
      <c r="AI111" s="5">
        <v>9908213.4499999993</v>
      </c>
      <c r="AJ111" s="5">
        <v>748311.74999999977</v>
      </c>
      <c r="AK111" s="5">
        <v>2540233.4500000002</v>
      </c>
      <c r="AL111" s="5">
        <v>1910051.9100000001</v>
      </c>
      <c r="AM111" s="5">
        <v>5198597.1099999985</v>
      </c>
      <c r="AN111" s="5">
        <v>417185.47000000009</v>
      </c>
      <c r="AO111" s="5">
        <v>1134940.3700000001</v>
      </c>
      <c r="AP111" s="5">
        <v>723160.96999999986</v>
      </c>
      <c r="AQ111" s="5">
        <v>2275286.8099999996</v>
      </c>
      <c r="AR111" s="5">
        <v>11564.460000000001</v>
      </c>
      <c r="AS111" s="5">
        <v>8522.3000000000011</v>
      </c>
      <c r="AT111" s="5">
        <v>20086.759999999998</v>
      </c>
      <c r="AU111" s="5">
        <v>196368.86000000002</v>
      </c>
      <c r="AV111" s="5">
        <v>638120.99999999988</v>
      </c>
      <c r="AW111" s="5">
        <v>421378.76000000007</v>
      </c>
      <c r="AX111" s="5">
        <v>1255868.6200000001</v>
      </c>
      <c r="AY111" s="5">
        <v>18658052.749999996</v>
      </c>
      <c r="AZ111" s="5">
        <v>158502.59</v>
      </c>
      <c r="BA111" s="5">
        <v>502595.63000000006</v>
      </c>
      <c r="BB111" s="5">
        <v>117247.26999999999</v>
      </c>
      <c r="BC111" s="5">
        <v>778345.49000000057</v>
      </c>
      <c r="BD111" s="5">
        <v>-1.18</v>
      </c>
      <c r="BE111" s="5">
        <v>258453.30999999994</v>
      </c>
      <c r="BF111" s="5">
        <v>258452.12999999995</v>
      </c>
      <c r="BG111" s="5">
        <v>1036797.6200000001</v>
      </c>
      <c r="BH111" s="5">
        <v>114831.47000000003</v>
      </c>
      <c r="BI111" s="5">
        <v>114831.47000000003</v>
      </c>
      <c r="BJ111" s="5">
        <v>22.72</v>
      </c>
      <c r="BK111" s="5">
        <v>389079.03</v>
      </c>
      <c r="BL111" s="5">
        <v>389101.75000000006</v>
      </c>
      <c r="BM111" s="5">
        <v>503933.22</v>
      </c>
      <c r="BN111" s="5">
        <v>53321.460000000006</v>
      </c>
      <c r="BO111" s="5">
        <v>53321.460000000006</v>
      </c>
      <c r="BP111" s="5">
        <v>150713.68999999994</v>
      </c>
      <c r="BQ111" s="5">
        <v>150713.68999999994</v>
      </c>
      <c r="BR111" s="5">
        <v>204035.14999999997</v>
      </c>
      <c r="BS111" s="5">
        <v>-0.53</v>
      </c>
      <c r="BT111" s="5">
        <v>152883.63999999998</v>
      </c>
      <c r="BU111" s="5">
        <v>152883.10999999999</v>
      </c>
      <c r="BV111" s="5">
        <v>152883.10999999999</v>
      </c>
      <c r="BW111" s="5">
        <v>29197312.059999995</v>
      </c>
      <c r="BX111" s="5">
        <v>32307.93</v>
      </c>
      <c r="BY111" s="5">
        <v>27339.550000000003</v>
      </c>
    </row>
    <row r="112" spans="4:77">
      <c r="E112" s="11"/>
    </row>
    <row r="113" spans="4:24" s="4" customFormat="1" ht="42">
      <c r="D113" s="15" t="s">
        <v>17</v>
      </c>
      <c r="E113" s="4" t="s">
        <v>16</v>
      </c>
      <c r="F113" s="14" t="s">
        <v>53</v>
      </c>
      <c r="G113" s="23" t="s">
        <v>63</v>
      </c>
      <c r="H113" s="13" t="s">
        <v>56</v>
      </c>
      <c r="I113" s="13" t="s">
        <v>57</v>
      </c>
      <c r="J113" s="13" t="s">
        <v>55</v>
      </c>
      <c r="K113" s="13" t="s">
        <v>24</v>
      </c>
      <c r="L113" s="14" t="s">
        <v>66</v>
      </c>
      <c r="M113" s="23" t="s">
        <v>67</v>
      </c>
      <c r="N113" s="14" t="s">
        <v>68</v>
      </c>
      <c r="O113" s="23" t="s">
        <v>69</v>
      </c>
      <c r="P113" s="13" t="s">
        <v>35</v>
      </c>
      <c r="Q113" s="13" t="s">
        <v>65</v>
      </c>
      <c r="R113" s="13" t="s">
        <v>54</v>
      </c>
      <c r="S113" s="14" t="s">
        <v>36</v>
      </c>
      <c r="T113" s="23" t="s">
        <v>64</v>
      </c>
      <c r="U113" s="24" t="s">
        <v>77</v>
      </c>
      <c r="V113" s="13" t="s">
        <v>81</v>
      </c>
      <c r="X113" s="3"/>
    </row>
    <row r="114" spans="4:24" s="4" customFormat="1">
      <c r="D114" s="27" t="s">
        <v>84</v>
      </c>
      <c r="E114" s="11">
        <f>SUM(E7:E77)</f>
        <v>19118618.460000001</v>
      </c>
      <c r="F114" s="11">
        <f>SUM(F7:F77)</f>
        <v>12583394.51</v>
      </c>
      <c r="G114" s="27">
        <f>F114/E114</f>
        <v>0.65817488519513034</v>
      </c>
      <c r="L114" s="11">
        <f>SUM(L7:L77)</f>
        <v>-2.54</v>
      </c>
      <c r="M114" s="27">
        <f>L114/E114</f>
        <v>-1.3285478787675957E-7</v>
      </c>
      <c r="N114" s="11">
        <f>SUM(N7:N77)</f>
        <v>22.02</v>
      </c>
      <c r="O114" s="27">
        <f>N114/E114</f>
        <v>1.1517568618292307E-6</v>
      </c>
      <c r="U114" s="11">
        <f>SUM(U7:U77)</f>
        <v>6535204.4700000016</v>
      </c>
      <c r="V114" s="28">
        <f>U114/E114</f>
        <v>0.34182409590279578</v>
      </c>
      <c r="X114" s="3"/>
    </row>
    <row r="115" spans="4:24" s="4" customFormat="1">
      <c r="D115" s="27" t="s">
        <v>85</v>
      </c>
      <c r="E115" s="4">
        <f>SUM(E78:E103)</f>
        <v>7926494.7099999981</v>
      </c>
      <c r="F115" s="4">
        <f>SUM(F78:F103)</f>
        <v>4714660.1700000009</v>
      </c>
      <c r="G115" s="27">
        <f>F115/E115</f>
        <v>0.59479761767228911</v>
      </c>
      <c r="L115" s="4">
        <f>SUM(L78:L103)</f>
        <v>667569.87000000011</v>
      </c>
      <c r="M115" s="27">
        <f>L115/E115</f>
        <v>8.4220061253280049E-2</v>
      </c>
      <c r="N115" s="4">
        <f>SUM(N78:N103)</f>
        <v>766169.16999999993</v>
      </c>
      <c r="O115" s="27">
        <f>N115/E115</f>
        <v>9.665926718318596E-2</v>
      </c>
      <c r="U115" s="4">
        <f>SUM(U78:U103)</f>
        <v>1778095.4999999991</v>
      </c>
      <c r="V115" s="28">
        <f>U115/E115</f>
        <v>0.22432305389124513</v>
      </c>
      <c r="X115" s="3"/>
    </row>
  </sheetData>
  <phoneticPr fontId="10" type="noConversion"/>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5" tint="0.39997558519241921"/>
  </sheetPr>
  <dimension ref="A1:BV117"/>
  <sheetViews>
    <sheetView topLeftCell="J1" workbookViewId="0">
      <selection activeCell="V7" sqref="V7"/>
    </sheetView>
  </sheetViews>
  <sheetFormatPr baseColWidth="10" defaultColWidth="8.83203125" defaultRowHeight="14" x14ac:dyDescent="0"/>
  <cols>
    <col min="1" max="1" width="36.33203125" bestFit="1" customWidth="1"/>
    <col min="4" max="4" width="14.83203125" style="3" bestFit="1" customWidth="1"/>
    <col min="5" max="5" width="11.1640625" style="4" bestFit="1" customWidth="1"/>
    <col min="6" max="6" width="11.1640625" style="4" customWidth="1"/>
    <col min="7" max="7" width="16.6640625" style="4" customWidth="1"/>
    <col min="8" max="8" width="12.1640625" style="4" customWidth="1"/>
    <col min="9" max="9" width="12" style="4" customWidth="1"/>
    <col min="10" max="12" width="8.83203125" style="4"/>
    <col min="13" max="13" width="13.83203125" style="4" customWidth="1"/>
    <col min="14" max="14" width="12.83203125" style="4" customWidth="1"/>
    <col min="15" max="15" width="13.5" style="4" customWidth="1"/>
    <col min="16" max="16" width="8.83203125" style="4"/>
    <col min="17" max="17" width="12.5" style="4" customWidth="1"/>
    <col min="18" max="19" width="8.83203125" style="4"/>
    <col min="20" max="20" width="14.83203125" style="4" customWidth="1"/>
    <col min="21" max="21" width="13.33203125" style="4" bestFit="1" customWidth="1"/>
    <col min="22" max="22" width="13.33203125" style="11" customWidth="1"/>
    <col min="24" max="24" width="10.6640625" style="3" bestFit="1" customWidth="1"/>
    <col min="64" max="64" width="33.83203125" bestFit="1" customWidth="1"/>
    <col min="65" max="65" width="17.5" bestFit="1" customWidth="1"/>
    <col min="66" max="66" width="11.83203125" bestFit="1" customWidth="1"/>
    <col min="67" max="67" width="16.83203125" bestFit="1" customWidth="1"/>
    <col min="68" max="68" width="38.83203125" bestFit="1" customWidth="1"/>
    <col min="69" max="69" width="28.6640625" bestFit="1" customWidth="1"/>
    <col min="70" max="70" width="16.83203125" bestFit="1" customWidth="1"/>
    <col min="71" max="71" width="33.83203125" bestFit="1" customWidth="1"/>
    <col min="72" max="72" width="12" bestFit="1" customWidth="1"/>
  </cols>
  <sheetData>
    <row r="1" spans="1:74" ht="15" thickBot="1">
      <c r="A1" s="4" t="s">
        <v>14</v>
      </c>
      <c r="B1" s="4"/>
      <c r="E1" s="11"/>
      <c r="F1" s="11"/>
      <c r="G1" s="11"/>
      <c r="H1" s="11"/>
      <c r="I1" s="11"/>
      <c r="J1" s="11"/>
      <c r="K1" s="11"/>
      <c r="L1" s="11"/>
      <c r="M1" s="11"/>
      <c r="N1" s="11"/>
      <c r="O1" s="11"/>
      <c r="P1" s="11"/>
      <c r="Q1" s="11"/>
      <c r="R1" s="11"/>
      <c r="S1" s="11"/>
      <c r="T1" s="11"/>
      <c r="U1" s="11"/>
      <c r="Y1" t="s">
        <v>0</v>
      </c>
      <c r="AE1" t="s">
        <v>18</v>
      </c>
      <c r="AF1" t="s">
        <v>2</v>
      </c>
      <c r="AY1" t="s">
        <v>19</v>
      </c>
      <c r="AZ1" t="s">
        <v>7</v>
      </c>
      <c r="BF1" t="s">
        <v>20</v>
      </c>
      <c r="BG1" t="s">
        <v>10</v>
      </c>
      <c r="BK1" t="s">
        <v>21</v>
      </c>
      <c r="BL1" t="s">
        <v>12</v>
      </c>
      <c r="BP1" t="s">
        <v>22</v>
      </c>
      <c r="BQ1" t="s">
        <v>11</v>
      </c>
      <c r="BS1" t="s">
        <v>23</v>
      </c>
      <c r="BT1" t="s">
        <v>16</v>
      </c>
      <c r="BU1" s="11" t="s">
        <v>80</v>
      </c>
      <c r="BV1" s="11" t="s">
        <v>78</v>
      </c>
    </row>
    <row r="2" spans="1:74" ht="16" thickTop="1" thickBot="1">
      <c r="A2" s="4"/>
      <c r="B2" s="4"/>
      <c r="E2" s="16"/>
      <c r="F2" s="16"/>
      <c r="G2" s="11"/>
      <c r="H2" s="16"/>
      <c r="I2" s="16"/>
      <c r="J2" s="11"/>
      <c r="K2" s="16"/>
      <c r="N2" s="16"/>
      <c r="O2" s="11"/>
      <c r="P2" s="11"/>
      <c r="Q2" s="11"/>
      <c r="R2" s="11"/>
      <c r="S2" s="11"/>
      <c r="T2" s="11"/>
      <c r="U2" s="16"/>
      <c r="V2" s="16"/>
      <c r="Y2" t="s">
        <v>1</v>
      </c>
      <c r="AB2" t="s">
        <v>47</v>
      </c>
      <c r="AC2" t="s">
        <v>3</v>
      </c>
      <c r="AD2" t="s">
        <v>48</v>
      </c>
      <c r="AF2" t="s">
        <v>1</v>
      </c>
      <c r="AI2" t="s">
        <v>47</v>
      </c>
      <c r="AJ2" t="s">
        <v>3</v>
      </c>
      <c r="AM2" t="s">
        <v>48</v>
      </c>
      <c r="AN2" t="s">
        <v>4</v>
      </c>
      <c r="AQ2" t="s">
        <v>49</v>
      </c>
      <c r="AR2" t="s">
        <v>5</v>
      </c>
      <c r="AT2" t="s">
        <v>50</v>
      </c>
      <c r="AU2" t="s">
        <v>6</v>
      </c>
      <c r="AX2" t="s">
        <v>51</v>
      </c>
      <c r="AZ2" t="s">
        <v>1</v>
      </c>
      <c r="BC2" t="s">
        <v>47</v>
      </c>
      <c r="BD2" t="s">
        <v>3</v>
      </c>
      <c r="BE2" t="s">
        <v>48</v>
      </c>
      <c r="BG2" t="s">
        <v>1</v>
      </c>
      <c r="BH2" t="s">
        <v>47</v>
      </c>
      <c r="BI2" t="s">
        <v>3</v>
      </c>
      <c r="BJ2" t="s">
        <v>48</v>
      </c>
      <c r="BL2" t="s">
        <v>1</v>
      </c>
      <c r="BM2" t="s">
        <v>47</v>
      </c>
      <c r="BN2" t="s">
        <v>3</v>
      </c>
      <c r="BO2" t="s">
        <v>48</v>
      </c>
      <c r="BQ2" t="s">
        <v>3</v>
      </c>
      <c r="BR2" t="s">
        <v>48</v>
      </c>
      <c r="BU2" s="11" t="s">
        <v>9</v>
      </c>
      <c r="BV2" s="11" t="s">
        <v>9</v>
      </c>
    </row>
    <row r="3" spans="1:74" ht="43" thickTop="1">
      <c r="A3" s="5" t="s">
        <v>26</v>
      </c>
      <c r="B3" s="4"/>
      <c r="D3" s="15" t="s">
        <v>17</v>
      </c>
      <c r="E3" s="4" t="s">
        <v>16</v>
      </c>
      <c r="F3" s="14" t="s">
        <v>53</v>
      </c>
      <c r="G3" s="23" t="s">
        <v>63</v>
      </c>
      <c r="H3" s="13" t="s">
        <v>56</v>
      </c>
      <c r="I3" s="13" t="s">
        <v>57</v>
      </c>
      <c r="J3" s="13" t="s">
        <v>55</v>
      </c>
      <c r="K3" s="13" t="s">
        <v>24</v>
      </c>
      <c r="L3" s="14" t="s">
        <v>66</v>
      </c>
      <c r="M3" s="23" t="s">
        <v>67</v>
      </c>
      <c r="N3" s="14" t="s">
        <v>68</v>
      </c>
      <c r="O3" s="23" t="s">
        <v>69</v>
      </c>
      <c r="P3" s="13" t="s">
        <v>35</v>
      </c>
      <c r="Q3" s="13" t="s">
        <v>65</v>
      </c>
      <c r="R3" s="13" t="s">
        <v>54</v>
      </c>
      <c r="S3" s="14" t="s">
        <v>36</v>
      </c>
      <c r="T3" s="23" t="s">
        <v>64</v>
      </c>
      <c r="U3" s="24" t="s">
        <v>77</v>
      </c>
      <c r="V3" s="13" t="s">
        <v>81</v>
      </c>
      <c r="X3" s="4" t="s">
        <v>17</v>
      </c>
      <c r="Y3">
        <v>2013</v>
      </c>
      <c r="Z3">
        <v>2014</v>
      </c>
      <c r="AA3">
        <v>2015</v>
      </c>
      <c r="AC3">
        <v>2015</v>
      </c>
      <c r="AF3">
        <v>2013</v>
      </c>
      <c r="AG3">
        <v>2014</v>
      </c>
      <c r="AH3">
        <v>2015</v>
      </c>
      <c r="AJ3">
        <v>2013</v>
      </c>
      <c r="AK3">
        <v>2014</v>
      </c>
      <c r="AL3">
        <v>2015</v>
      </c>
      <c r="AN3">
        <v>2013</v>
      </c>
      <c r="AO3">
        <v>2014</v>
      </c>
      <c r="AP3">
        <v>2015</v>
      </c>
      <c r="AR3">
        <v>2013</v>
      </c>
      <c r="AS3">
        <v>2014</v>
      </c>
      <c r="AU3">
        <v>2013</v>
      </c>
      <c r="AV3">
        <v>2014</v>
      </c>
      <c r="AW3">
        <v>2015</v>
      </c>
      <c r="AZ3">
        <v>2013</v>
      </c>
      <c r="BA3">
        <v>2014</v>
      </c>
      <c r="BB3">
        <v>2015</v>
      </c>
      <c r="BD3">
        <v>2015</v>
      </c>
      <c r="BG3">
        <v>2015</v>
      </c>
      <c r="BI3">
        <v>2015</v>
      </c>
      <c r="BL3">
        <v>2015</v>
      </c>
      <c r="BN3">
        <v>2015</v>
      </c>
      <c r="BQ3">
        <v>2015</v>
      </c>
      <c r="BU3" s="11">
        <v>2015</v>
      </c>
      <c r="BV3" s="11" t="s">
        <v>79</v>
      </c>
    </row>
    <row r="4" spans="1:74">
      <c r="A4" s="4" t="s">
        <v>27</v>
      </c>
      <c r="B4" s="17">
        <v>71</v>
      </c>
      <c r="D4" s="3">
        <v>41519</v>
      </c>
      <c r="E4" s="11">
        <f>BT4</f>
        <v>28111.599999999999</v>
      </c>
      <c r="F4" s="4">
        <f>AY4</f>
        <v>17903.04</v>
      </c>
      <c r="G4" s="4">
        <f>F4/E4</f>
        <v>0.6368559598172997</v>
      </c>
      <c r="H4" s="4">
        <f t="shared" ref="H4:H67" si="0">AB4-Z4-Y4-BU4</f>
        <v>0</v>
      </c>
      <c r="I4" s="4">
        <f t="shared" ref="I4:I67" si="1">BC4-BA4-AZ4-BV4</f>
        <v>0</v>
      </c>
      <c r="J4" s="4">
        <f>SUM(H4:I4)</f>
        <v>0</v>
      </c>
      <c r="K4" s="4">
        <f>SUM(AD4,BE4)</f>
        <v>0</v>
      </c>
      <c r="L4" s="4">
        <f>SUM(J4:K4)</f>
        <v>0</v>
      </c>
      <c r="M4" s="4">
        <f>L4/E4</f>
        <v>0</v>
      </c>
      <c r="N4" s="4">
        <f>SUM(BK4,BP4,BS4)</f>
        <v>0</v>
      </c>
      <c r="O4" s="4">
        <f>N4/E4</f>
        <v>0</v>
      </c>
      <c r="P4" s="4">
        <f>SUM(F4,N4)</f>
        <v>17903.04</v>
      </c>
      <c r="Q4" s="4">
        <f t="shared" ref="Q4:Q35" si="2">P4/E4</f>
        <v>0.6368559598172997</v>
      </c>
      <c r="U4" s="11">
        <f>E4-SUM(F4,L4,N4)</f>
        <v>10208.559999999998</v>
      </c>
      <c r="V4" s="11">
        <f>U4/E4</f>
        <v>0.3631440401827003</v>
      </c>
      <c r="X4" s="3">
        <v>41519</v>
      </c>
      <c r="Y4">
        <v>1545.13</v>
      </c>
      <c r="AB4">
        <v>1545.13</v>
      </c>
      <c r="AE4">
        <v>1545.13</v>
      </c>
      <c r="AF4">
        <v>11538.97</v>
      </c>
      <c r="AI4">
        <v>11538.97</v>
      </c>
      <c r="AJ4">
        <v>4005.73</v>
      </c>
      <c r="AM4">
        <v>4005.73</v>
      </c>
      <c r="AN4">
        <v>1644.64</v>
      </c>
      <c r="AQ4">
        <v>1644.64</v>
      </c>
      <c r="AR4">
        <v>34.15</v>
      </c>
      <c r="AT4">
        <v>34.15</v>
      </c>
      <c r="AU4">
        <v>679.55</v>
      </c>
      <c r="AX4">
        <v>679.55</v>
      </c>
      <c r="AY4">
        <v>17903.04</v>
      </c>
      <c r="AZ4">
        <v>1385.54</v>
      </c>
      <c r="BC4">
        <v>1385.54</v>
      </c>
      <c r="BF4">
        <v>1385.54</v>
      </c>
      <c r="BT4">
        <v>28111.599999999999</v>
      </c>
      <c r="BU4" s="1"/>
      <c r="BV4" s="1"/>
    </row>
    <row r="5" spans="1:74">
      <c r="A5" s="4" t="s">
        <v>28</v>
      </c>
      <c r="B5" s="17">
        <v>71</v>
      </c>
      <c r="D5" s="3">
        <v>41526</v>
      </c>
      <c r="E5" s="11">
        <f t="shared" ref="E5:E68" si="3">BT5</f>
        <v>115116.98</v>
      </c>
      <c r="F5" s="4">
        <f t="shared" ref="F5:F68" si="4">AY5</f>
        <v>73300.67</v>
      </c>
      <c r="G5" s="4">
        <f t="shared" ref="G5:G68" si="5">F5/E5</f>
        <v>0.63674941785303962</v>
      </c>
      <c r="H5" s="4">
        <f t="shared" si="0"/>
        <v>0</v>
      </c>
      <c r="I5" s="4">
        <f t="shared" si="1"/>
        <v>0</v>
      </c>
      <c r="J5" s="4">
        <f t="shared" ref="J5:J68" si="6">SUM(H5:I5)</f>
        <v>0</v>
      </c>
      <c r="K5" s="4">
        <f t="shared" ref="K5:K68" si="7">SUM(AD5,BE5)</f>
        <v>0</v>
      </c>
      <c r="L5" s="4">
        <f t="shared" ref="L5:L68" si="8">SUM(J5:K5)</f>
        <v>0</v>
      </c>
      <c r="M5" s="4">
        <f t="shared" ref="M5:M68" si="9">L5/E5</f>
        <v>0</v>
      </c>
      <c r="N5" s="4">
        <f t="shared" ref="N5:N68" si="10">SUM(BK5,BP5,BS5)</f>
        <v>0</v>
      </c>
      <c r="O5" s="4">
        <f t="shared" ref="O5:O68" si="11">N5/E5</f>
        <v>0</v>
      </c>
      <c r="P5" s="4">
        <f t="shared" ref="P5:P68" si="12">SUM(F5,N5)</f>
        <v>73300.67</v>
      </c>
      <c r="Q5" s="4">
        <f t="shared" si="2"/>
        <v>0.63674941785303962</v>
      </c>
      <c r="U5" s="11">
        <f t="shared" ref="U5:U68" si="13">E5-SUM(F5,L5,N5)</f>
        <v>41816.31</v>
      </c>
      <c r="V5" s="11">
        <f t="shared" ref="V5:V68" si="14">U5/E5</f>
        <v>0.36325058214696043</v>
      </c>
      <c r="X5" s="3">
        <v>41526</v>
      </c>
      <c r="Y5">
        <v>6547.15</v>
      </c>
      <c r="AB5">
        <v>6547.15</v>
      </c>
      <c r="AE5">
        <v>6547.15</v>
      </c>
      <c r="AF5">
        <v>47671.87</v>
      </c>
      <c r="AI5">
        <v>47671.87</v>
      </c>
      <c r="AJ5">
        <v>15516.43</v>
      </c>
      <c r="AM5">
        <v>15516.43</v>
      </c>
      <c r="AN5">
        <v>7395.69</v>
      </c>
      <c r="AQ5">
        <v>7395.69</v>
      </c>
      <c r="AR5">
        <v>130.88999999999999</v>
      </c>
      <c r="AT5">
        <v>130.88999999999999</v>
      </c>
      <c r="AU5">
        <v>2585.79</v>
      </c>
      <c r="AX5">
        <v>2585.79</v>
      </c>
      <c r="AY5">
        <v>73300.67</v>
      </c>
      <c r="AZ5">
        <v>5474.42</v>
      </c>
      <c r="BC5">
        <v>5474.42</v>
      </c>
      <c r="BF5">
        <v>5474.42</v>
      </c>
      <c r="BT5">
        <v>115116.98</v>
      </c>
      <c r="BU5" s="1"/>
      <c r="BV5" s="1"/>
    </row>
    <row r="6" spans="1:74">
      <c r="A6" s="4" t="s">
        <v>29</v>
      </c>
      <c r="B6" s="17">
        <v>51.21</v>
      </c>
      <c r="D6" s="3">
        <v>41533</v>
      </c>
      <c r="E6" s="11">
        <f t="shared" si="3"/>
        <v>103380.09999999999</v>
      </c>
      <c r="F6" s="4">
        <f t="shared" si="4"/>
        <v>66474.289999999994</v>
      </c>
      <c r="G6" s="4">
        <f t="shared" si="5"/>
        <v>0.64300856741287737</v>
      </c>
      <c r="H6" s="4">
        <f t="shared" si="0"/>
        <v>0</v>
      </c>
      <c r="I6" s="4">
        <f t="shared" si="1"/>
        <v>0</v>
      </c>
      <c r="J6" s="4">
        <f t="shared" si="6"/>
        <v>0</v>
      </c>
      <c r="K6" s="4">
        <f t="shared" si="7"/>
        <v>0</v>
      </c>
      <c r="L6" s="4">
        <f t="shared" si="8"/>
        <v>0</v>
      </c>
      <c r="M6" s="4">
        <f t="shared" si="9"/>
        <v>0</v>
      </c>
      <c r="N6" s="4">
        <f t="shared" si="10"/>
        <v>0</v>
      </c>
      <c r="O6" s="4">
        <f t="shared" si="11"/>
        <v>0</v>
      </c>
      <c r="P6" s="4">
        <f t="shared" si="12"/>
        <v>66474.289999999994</v>
      </c>
      <c r="Q6" s="4">
        <f t="shared" si="2"/>
        <v>0.64300856741287737</v>
      </c>
      <c r="U6" s="11">
        <f t="shared" si="13"/>
        <v>36905.81</v>
      </c>
      <c r="V6" s="11">
        <f t="shared" si="14"/>
        <v>0.35699143258712268</v>
      </c>
      <c r="X6" s="3">
        <v>41533</v>
      </c>
      <c r="Y6">
        <v>5754.03</v>
      </c>
      <c r="AB6">
        <v>5754.03</v>
      </c>
      <c r="AE6">
        <v>5754.03</v>
      </c>
      <c r="AF6">
        <v>41404.11</v>
      </c>
      <c r="AI6">
        <v>41404.11</v>
      </c>
      <c r="AJ6">
        <v>15574.13</v>
      </c>
      <c r="AM6">
        <v>15574.13</v>
      </c>
      <c r="AN6">
        <v>6758.69</v>
      </c>
      <c r="AQ6">
        <v>6758.69</v>
      </c>
      <c r="AR6">
        <v>122.95</v>
      </c>
      <c r="AT6">
        <v>122.95</v>
      </c>
      <c r="AU6">
        <v>2614.41</v>
      </c>
      <c r="AX6">
        <v>2614.41</v>
      </c>
      <c r="AY6">
        <v>66474.289999999994</v>
      </c>
      <c r="AZ6">
        <v>4704.12</v>
      </c>
      <c r="BC6">
        <v>4704.12</v>
      </c>
      <c r="BF6">
        <v>4704.12</v>
      </c>
      <c r="BT6">
        <v>103380.09999999999</v>
      </c>
      <c r="BU6" s="1"/>
      <c r="BV6" s="1"/>
    </row>
    <row r="7" spans="1:74">
      <c r="A7" s="4" t="s">
        <v>30</v>
      </c>
      <c r="B7" s="17" t="s">
        <v>31</v>
      </c>
      <c r="D7" s="3">
        <v>41540</v>
      </c>
      <c r="E7" s="11">
        <f t="shared" si="3"/>
        <v>100432.43999999999</v>
      </c>
      <c r="F7" s="4">
        <f t="shared" si="4"/>
        <v>64803.460000000006</v>
      </c>
      <c r="G7" s="4">
        <f t="shared" si="5"/>
        <v>0.64524430552518708</v>
      </c>
      <c r="H7" s="4">
        <f t="shared" si="0"/>
        <v>0</v>
      </c>
      <c r="I7" s="4">
        <f t="shared" si="1"/>
        <v>0</v>
      </c>
      <c r="J7" s="4">
        <f t="shared" si="6"/>
        <v>0</v>
      </c>
      <c r="K7" s="4">
        <f t="shared" si="7"/>
        <v>0</v>
      </c>
      <c r="L7" s="4">
        <f t="shared" si="8"/>
        <v>0</v>
      </c>
      <c r="M7" s="4">
        <f t="shared" si="9"/>
        <v>0</v>
      </c>
      <c r="N7" s="4">
        <f t="shared" si="10"/>
        <v>0</v>
      </c>
      <c r="O7" s="4">
        <f t="shared" si="11"/>
        <v>0</v>
      </c>
      <c r="P7" s="4">
        <f t="shared" si="12"/>
        <v>64803.460000000006</v>
      </c>
      <c r="Q7" s="4">
        <f t="shared" si="2"/>
        <v>0.64524430552518708</v>
      </c>
      <c r="R7" s="4">
        <v>1</v>
      </c>
      <c r="S7" s="4">
        <f t="shared" ref="S7:S38" si="15">T7*E7</f>
        <v>64886.665712983195</v>
      </c>
      <c r="T7" s="4">
        <f t="shared" ref="T7:T70" si="16">$B$9+$B$10*R7</f>
        <v>0.64607278000000001</v>
      </c>
      <c r="U7" s="11">
        <f t="shared" si="13"/>
        <v>35628.979999999981</v>
      </c>
      <c r="V7" s="11">
        <f t="shared" si="14"/>
        <v>0.35475569447481298</v>
      </c>
      <c r="X7" s="3">
        <v>41540</v>
      </c>
      <c r="Y7">
        <v>5390.6</v>
      </c>
      <c r="AB7">
        <v>5390.6</v>
      </c>
      <c r="AE7">
        <v>5390.6</v>
      </c>
      <c r="AF7">
        <v>40292.93</v>
      </c>
      <c r="AI7">
        <v>40292.93</v>
      </c>
      <c r="AJ7">
        <v>15392.2</v>
      </c>
      <c r="AM7">
        <v>15392.2</v>
      </c>
      <c r="AN7">
        <v>6373.18</v>
      </c>
      <c r="AQ7">
        <v>6373.18</v>
      </c>
      <c r="AR7">
        <v>111.61</v>
      </c>
      <c r="AT7">
        <v>111.61</v>
      </c>
      <c r="AU7">
        <v>2633.54</v>
      </c>
      <c r="AX7">
        <v>2633.54</v>
      </c>
      <c r="AY7">
        <v>64803.460000000006</v>
      </c>
      <c r="AZ7">
        <v>4421.6499999999996</v>
      </c>
      <c r="BC7">
        <v>4421.6499999999996</v>
      </c>
      <c r="BF7">
        <v>4421.6499999999996</v>
      </c>
      <c r="BT7">
        <v>100432.43999999999</v>
      </c>
      <c r="BU7" s="1"/>
      <c r="BV7" s="1"/>
    </row>
    <row r="8" spans="1:74">
      <c r="A8" s="4" t="s">
        <v>32</v>
      </c>
      <c r="B8" s="17">
        <v>0.42599999999999999</v>
      </c>
      <c r="D8" s="3">
        <v>41547</v>
      </c>
      <c r="E8" s="11">
        <f t="shared" si="3"/>
        <v>89945.34</v>
      </c>
      <c r="F8" s="4">
        <f t="shared" si="4"/>
        <v>57253.939999999995</v>
      </c>
      <c r="G8" s="4">
        <f t="shared" si="5"/>
        <v>0.63654148174880432</v>
      </c>
      <c r="H8" s="4">
        <f t="shared" si="0"/>
        <v>0</v>
      </c>
      <c r="I8" s="4">
        <f t="shared" si="1"/>
        <v>0</v>
      </c>
      <c r="J8" s="4">
        <f t="shared" si="6"/>
        <v>0</v>
      </c>
      <c r="K8" s="4">
        <f t="shared" si="7"/>
        <v>0</v>
      </c>
      <c r="L8" s="4">
        <f t="shared" si="8"/>
        <v>0</v>
      </c>
      <c r="M8" s="4">
        <f t="shared" si="9"/>
        <v>0</v>
      </c>
      <c r="N8" s="4">
        <f t="shared" si="10"/>
        <v>0</v>
      </c>
      <c r="O8" s="4">
        <f t="shared" si="11"/>
        <v>0</v>
      </c>
      <c r="P8" s="4">
        <f t="shared" si="12"/>
        <v>57253.939999999995</v>
      </c>
      <c r="Q8" s="4">
        <f t="shared" si="2"/>
        <v>0.63654148174880432</v>
      </c>
      <c r="R8" s="4">
        <v>2</v>
      </c>
      <c r="S8" s="4">
        <f t="shared" si="15"/>
        <v>58154.659673090398</v>
      </c>
      <c r="T8" s="4">
        <f t="shared" si="16"/>
        <v>0.64655556000000003</v>
      </c>
      <c r="U8" s="11">
        <f t="shared" si="13"/>
        <v>32691.4</v>
      </c>
      <c r="V8" s="11">
        <f t="shared" si="14"/>
        <v>0.36345851825119568</v>
      </c>
      <c r="X8" s="3">
        <v>41547</v>
      </c>
      <c r="Y8">
        <v>4909.04</v>
      </c>
      <c r="AB8">
        <v>4909.04</v>
      </c>
      <c r="AE8">
        <v>4909.04</v>
      </c>
      <c r="AF8">
        <v>34740.21</v>
      </c>
      <c r="AI8">
        <v>34740.21</v>
      </c>
      <c r="AJ8">
        <v>14232.21</v>
      </c>
      <c r="AM8">
        <v>14232.21</v>
      </c>
      <c r="AN8">
        <v>5696.34</v>
      </c>
      <c r="AQ8">
        <v>5696.34</v>
      </c>
      <c r="AR8">
        <v>124.07</v>
      </c>
      <c r="AT8">
        <v>124.07</v>
      </c>
      <c r="AU8">
        <v>2461.11</v>
      </c>
      <c r="AX8">
        <v>2461.11</v>
      </c>
      <c r="AY8">
        <v>57253.939999999995</v>
      </c>
      <c r="AZ8">
        <v>4081.04</v>
      </c>
      <c r="BC8">
        <v>4081.04</v>
      </c>
      <c r="BF8">
        <v>4081.04</v>
      </c>
      <c r="BT8">
        <v>89945.34</v>
      </c>
      <c r="BU8" s="1"/>
      <c r="BV8" s="1"/>
    </row>
    <row r="9" spans="1:74">
      <c r="A9" s="18" t="s">
        <v>33</v>
      </c>
      <c r="B9" s="19">
        <v>0.64559</v>
      </c>
      <c r="D9" s="3">
        <v>41554</v>
      </c>
      <c r="E9" s="11">
        <f t="shared" si="3"/>
        <v>100201.01000000001</v>
      </c>
      <c r="F9" s="4">
        <f t="shared" si="4"/>
        <v>64290.37</v>
      </c>
      <c r="G9" s="4">
        <f t="shared" si="5"/>
        <v>0.64161399171525313</v>
      </c>
      <c r="H9" s="4">
        <f t="shared" si="0"/>
        <v>0</v>
      </c>
      <c r="I9" s="4">
        <f t="shared" si="1"/>
        <v>0</v>
      </c>
      <c r="J9" s="4">
        <f t="shared" si="6"/>
        <v>0</v>
      </c>
      <c r="K9" s="4">
        <f t="shared" si="7"/>
        <v>0</v>
      </c>
      <c r="L9" s="4">
        <f t="shared" si="8"/>
        <v>0</v>
      </c>
      <c r="M9" s="4">
        <f t="shared" si="9"/>
        <v>0</v>
      </c>
      <c r="N9" s="4">
        <f t="shared" si="10"/>
        <v>0</v>
      </c>
      <c r="O9" s="4">
        <f t="shared" si="11"/>
        <v>0</v>
      </c>
      <c r="P9" s="4">
        <f t="shared" si="12"/>
        <v>64290.37</v>
      </c>
      <c r="Q9" s="4">
        <f t="shared" si="2"/>
        <v>0.64161399171525313</v>
      </c>
      <c r="R9" s="4">
        <v>3</v>
      </c>
      <c r="S9" s="4">
        <f t="shared" si="15"/>
        <v>64833.89517672341</v>
      </c>
      <c r="T9" s="4">
        <f t="shared" si="16"/>
        <v>0.64703834000000005</v>
      </c>
      <c r="U9" s="11">
        <f t="shared" si="13"/>
        <v>35910.640000000007</v>
      </c>
      <c r="V9" s="11">
        <f t="shared" si="14"/>
        <v>0.35838600828474687</v>
      </c>
      <c r="X9" s="3">
        <v>41554</v>
      </c>
      <c r="Y9">
        <v>5417.89</v>
      </c>
      <c r="AB9">
        <v>5417.89</v>
      </c>
      <c r="AE9">
        <v>5417.89</v>
      </c>
      <c r="AF9">
        <v>40013.65</v>
      </c>
      <c r="AI9">
        <v>40013.65</v>
      </c>
      <c r="AJ9">
        <v>15305.47</v>
      </c>
      <c r="AM9">
        <v>15305.47</v>
      </c>
      <c r="AN9">
        <v>6021.33</v>
      </c>
      <c r="AQ9">
        <v>6021.33</v>
      </c>
      <c r="AR9">
        <v>140.07</v>
      </c>
      <c r="AT9">
        <v>140.07</v>
      </c>
      <c r="AU9">
        <v>2809.85</v>
      </c>
      <c r="AX9">
        <v>2809.85</v>
      </c>
      <c r="AY9">
        <v>64290.37</v>
      </c>
      <c r="AZ9">
        <v>4592.67</v>
      </c>
      <c r="BC9">
        <v>4592.67</v>
      </c>
      <c r="BF9">
        <v>4592.67</v>
      </c>
      <c r="BT9">
        <v>100201.01000000001</v>
      </c>
      <c r="BU9" s="1"/>
      <c r="BV9" s="1"/>
    </row>
    <row r="10" spans="1:74">
      <c r="A10" s="18" t="s">
        <v>34</v>
      </c>
      <c r="B10" s="19">
        <v>4.8277999999999998E-4</v>
      </c>
      <c r="D10" s="3">
        <v>41561</v>
      </c>
      <c r="E10" s="11">
        <f t="shared" si="3"/>
        <v>111395.52999999998</v>
      </c>
      <c r="F10" s="4">
        <f t="shared" si="4"/>
        <v>72393.87</v>
      </c>
      <c r="G10" s="4">
        <f t="shared" si="5"/>
        <v>0.64988128338722395</v>
      </c>
      <c r="H10" s="4">
        <f t="shared" si="0"/>
        <v>0</v>
      </c>
      <c r="I10" s="4">
        <f t="shared" si="1"/>
        <v>0</v>
      </c>
      <c r="J10" s="4">
        <f t="shared" si="6"/>
        <v>0</v>
      </c>
      <c r="K10" s="4">
        <f t="shared" si="7"/>
        <v>0</v>
      </c>
      <c r="L10" s="4">
        <f t="shared" si="8"/>
        <v>0</v>
      </c>
      <c r="M10" s="4">
        <f t="shared" si="9"/>
        <v>0</v>
      </c>
      <c r="N10" s="4">
        <f t="shared" si="10"/>
        <v>0</v>
      </c>
      <c r="O10" s="4">
        <f t="shared" si="11"/>
        <v>0</v>
      </c>
      <c r="P10" s="4">
        <f t="shared" si="12"/>
        <v>72393.87</v>
      </c>
      <c r="Q10" s="4">
        <f t="shared" si="2"/>
        <v>0.64988128338722395</v>
      </c>
      <c r="R10" s="4">
        <v>4</v>
      </c>
      <c r="S10" s="4">
        <f t="shared" si="15"/>
        <v>72130.958348593587</v>
      </c>
      <c r="T10" s="4">
        <f t="shared" si="16"/>
        <v>0.64752111999999995</v>
      </c>
      <c r="U10" s="11">
        <f t="shared" si="13"/>
        <v>39001.659999999989</v>
      </c>
      <c r="V10" s="11">
        <f t="shared" si="14"/>
        <v>0.35011871661277605</v>
      </c>
      <c r="X10" s="3">
        <v>41561</v>
      </c>
      <c r="Y10">
        <v>5953.19</v>
      </c>
      <c r="AB10">
        <v>5953.19</v>
      </c>
      <c r="AE10">
        <v>5953.19</v>
      </c>
      <c r="AF10">
        <v>47157.82</v>
      </c>
      <c r="AI10">
        <v>47157.82</v>
      </c>
      <c r="AJ10">
        <v>16211.75</v>
      </c>
      <c r="AM10">
        <v>16211.75</v>
      </c>
      <c r="AN10">
        <v>5951.58</v>
      </c>
      <c r="AQ10">
        <v>5951.58</v>
      </c>
      <c r="AR10">
        <v>133.19</v>
      </c>
      <c r="AT10">
        <v>133.19</v>
      </c>
      <c r="AU10">
        <v>2939.53</v>
      </c>
      <c r="AX10">
        <v>2939.53</v>
      </c>
      <c r="AY10">
        <v>72393.87</v>
      </c>
      <c r="AZ10">
        <v>4951.04</v>
      </c>
      <c r="BC10">
        <v>4951.04</v>
      </c>
      <c r="BF10">
        <v>4951.04</v>
      </c>
      <c r="BT10">
        <v>111395.52999999998</v>
      </c>
      <c r="BU10" s="1"/>
      <c r="BV10" s="1"/>
    </row>
    <row r="11" spans="1:74">
      <c r="A11" s="4"/>
      <c r="B11" s="17"/>
      <c r="D11" s="3">
        <v>41568</v>
      </c>
      <c r="E11" s="11">
        <f t="shared" si="3"/>
        <v>98294.000000000015</v>
      </c>
      <c r="F11" s="4">
        <f t="shared" si="4"/>
        <v>63287.37</v>
      </c>
      <c r="G11" s="4">
        <f t="shared" si="5"/>
        <v>0.64385791604777498</v>
      </c>
      <c r="H11" s="4">
        <f t="shared" si="0"/>
        <v>0</v>
      </c>
      <c r="I11" s="4">
        <f t="shared" si="1"/>
        <v>0</v>
      </c>
      <c r="J11" s="4">
        <f t="shared" si="6"/>
        <v>0</v>
      </c>
      <c r="K11" s="4">
        <f t="shared" si="7"/>
        <v>0</v>
      </c>
      <c r="L11" s="4">
        <f t="shared" si="8"/>
        <v>0</v>
      </c>
      <c r="M11" s="4">
        <f t="shared" si="9"/>
        <v>0</v>
      </c>
      <c r="N11" s="4">
        <f t="shared" si="10"/>
        <v>0</v>
      </c>
      <c r="O11" s="4">
        <f t="shared" si="11"/>
        <v>0</v>
      </c>
      <c r="P11" s="4">
        <f t="shared" si="12"/>
        <v>63287.37</v>
      </c>
      <c r="Q11" s="4">
        <f t="shared" si="2"/>
        <v>0.64385791604777498</v>
      </c>
      <c r="R11" s="4">
        <v>5</v>
      </c>
      <c r="S11" s="4">
        <f t="shared" si="15"/>
        <v>63694.895346600009</v>
      </c>
      <c r="T11" s="4">
        <f t="shared" si="16"/>
        <v>0.64800389999999997</v>
      </c>
      <c r="U11" s="11">
        <f t="shared" si="13"/>
        <v>35006.630000000012</v>
      </c>
      <c r="V11" s="11">
        <f t="shared" si="14"/>
        <v>0.35614208395222502</v>
      </c>
      <c r="X11" s="3">
        <v>41568</v>
      </c>
      <c r="Y11">
        <v>5275.07</v>
      </c>
      <c r="AB11">
        <v>5275.07</v>
      </c>
      <c r="AE11">
        <v>5275.07</v>
      </c>
      <c r="AF11">
        <v>39749.589999999997</v>
      </c>
      <c r="AI11">
        <v>39749.589999999997</v>
      </c>
      <c r="AJ11">
        <v>15221.77</v>
      </c>
      <c r="AM11">
        <v>15221.77</v>
      </c>
      <c r="AN11">
        <v>5534.44</v>
      </c>
      <c r="AQ11">
        <v>5534.44</v>
      </c>
      <c r="AR11">
        <v>138.86000000000001</v>
      </c>
      <c r="AT11">
        <v>138.86000000000001</v>
      </c>
      <c r="AU11">
        <v>2642.71</v>
      </c>
      <c r="AX11">
        <v>2642.71</v>
      </c>
      <c r="AY11">
        <v>63287.37</v>
      </c>
      <c r="AZ11">
        <v>4400.13</v>
      </c>
      <c r="BC11">
        <v>4400.13</v>
      </c>
      <c r="BF11">
        <v>4400.13</v>
      </c>
      <c r="BT11">
        <v>98294.000000000015</v>
      </c>
      <c r="BU11" s="1"/>
      <c r="BV11" s="1"/>
    </row>
    <row r="12" spans="1:74">
      <c r="A12" s="4" t="s">
        <v>39</v>
      </c>
      <c r="B12" s="6">
        <v>1.9220492664805692E-2</v>
      </c>
      <c r="D12" s="3">
        <v>41575</v>
      </c>
      <c r="E12" s="11">
        <f t="shared" si="3"/>
        <v>95253.39</v>
      </c>
      <c r="F12" s="4">
        <f t="shared" si="4"/>
        <v>60663.08</v>
      </c>
      <c r="G12" s="4">
        <f t="shared" si="5"/>
        <v>0.63686006345810897</v>
      </c>
      <c r="H12" s="4">
        <f t="shared" si="0"/>
        <v>0</v>
      </c>
      <c r="I12" s="4">
        <f t="shared" si="1"/>
        <v>0</v>
      </c>
      <c r="J12" s="4">
        <f t="shared" si="6"/>
        <v>0</v>
      </c>
      <c r="K12" s="4">
        <f t="shared" si="7"/>
        <v>0</v>
      </c>
      <c r="L12" s="4">
        <f t="shared" si="8"/>
        <v>0</v>
      </c>
      <c r="M12" s="4">
        <f t="shared" si="9"/>
        <v>0</v>
      </c>
      <c r="N12" s="4">
        <f t="shared" si="10"/>
        <v>0</v>
      </c>
      <c r="O12" s="4">
        <f t="shared" si="11"/>
        <v>0</v>
      </c>
      <c r="P12" s="4">
        <f t="shared" si="12"/>
        <v>60663.08</v>
      </c>
      <c r="Q12" s="4">
        <f t="shared" si="2"/>
        <v>0.63686006345810897</v>
      </c>
      <c r="R12" s="4">
        <v>6</v>
      </c>
      <c r="S12" s="4">
        <f t="shared" si="15"/>
        <v>61770.554639845199</v>
      </c>
      <c r="T12" s="4">
        <f t="shared" si="16"/>
        <v>0.64848667999999998</v>
      </c>
      <c r="U12" s="11">
        <f t="shared" si="13"/>
        <v>34590.31</v>
      </c>
      <c r="V12" s="11">
        <f t="shared" si="14"/>
        <v>0.36313993654189103</v>
      </c>
      <c r="X12" s="3">
        <v>41575</v>
      </c>
      <c r="Y12">
        <v>5219.45</v>
      </c>
      <c r="AB12">
        <v>5219.45</v>
      </c>
      <c r="AE12">
        <v>5219.45</v>
      </c>
      <c r="AF12">
        <v>37598.89</v>
      </c>
      <c r="AI12">
        <v>37598.89</v>
      </c>
      <c r="AJ12">
        <v>14974</v>
      </c>
      <c r="AM12">
        <v>14974</v>
      </c>
      <c r="AN12">
        <v>5317.97</v>
      </c>
      <c r="AQ12">
        <v>5317.97</v>
      </c>
      <c r="AR12">
        <v>125.26</v>
      </c>
      <c r="AT12">
        <v>125.26</v>
      </c>
      <c r="AU12">
        <v>2646.96</v>
      </c>
      <c r="AX12">
        <v>2646.96</v>
      </c>
      <c r="AY12">
        <v>60663.08</v>
      </c>
      <c r="AZ12">
        <v>4362.1099999999997</v>
      </c>
      <c r="BC12">
        <v>4362.1099999999997</v>
      </c>
      <c r="BF12">
        <v>4362.1099999999997</v>
      </c>
      <c r="BT12">
        <v>95253.39</v>
      </c>
      <c r="BU12" s="1"/>
      <c r="BV12" s="1"/>
    </row>
    <row r="13" spans="1:74">
      <c r="D13" s="3">
        <v>41582</v>
      </c>
      <c r="E13" s="11">
        <f t="shared" si="3"/>
        <v>98019.950000000012</v>
      </c>
      <c r="F13" s="4">
        <f t="shared" si="4"/>
        <v>64309.830000000009</v>
      </c>
      <c r="G13" s="4">
        <f t="shared" si="5"/>
        <v>0.65608919408753019</v>
      </c>
      <c r="H13" s="4">
        <f t="shared" si="0"/>
        <v>0</v>
      </c>
      <c r="I13" s="4">
        <f t="shared" si="1"/>
        <v>0</v>
      </c>
      <c r="J13" s="4">
        <f t="shared" si="6"/>
        <v>0</v>
      </c>
      <c r="K13" s="4">
        <f t="shared" si="7"/>
        <v>0</v>
      </c>
      <c r="L13" s="4">
        <f t="shared" si="8"/>
        <v>0</v>
      </c>
      <c r="M13" s="4">
        <f t="shared" si="9"/>
        <v>0</v>
      </c>
      <c r="N13" s="4">
        <f t="shared" si="10"/>
        <v>0</v>
      </c>
      <c r="O13" s="4">
        <f t="shared" si="11"/>
        <v>0</v>
      </c>
      <c r="P13" s="4">
        <f t="shared" si="12"/>
        <v>64309.830000000009</v>
      </c>
      <c r="Q13" s="4">
        <f t="shared" si="2"/>
        <v>0.65608919408753019</v>
      </c>
      <c r="R13" s="4">
        <v>7</v>
      </c>
      <c r="S13" s="4">
        <f t="shared" si="15"/>
        <v>63611.954020727004</v>
      </c>
      <c r="T13" s="4">
        <f t="shared" si="16"/>
        <v>0.64896946</v>
      </c>
      <c r="U13" s="11">
        <f t="shared" si="13"/>
        <v>33710.120000000003</v>
      </c>
      <c r="V13" s="11">
        <f t="shared" si="14"/>
        <v>0.34391080591246986</v>
      </c>
      <c r="X13" s="3">
        <v>41582</v>
      </c>
      <c r="Y13">
        <v>5021.51</v>
      </c>
      <c r="AB13">
        <v>5021.51</v>
      </c>
      <c r="AE13">
        <v>5021.51</v>
      </c>
      <c r="AF13">
        <v>39280.480000000003</v>
      </c>
      <c r="AI13">
        <v>39280.480000000003</v>
      </c>
      <c r="AJ13">
        <v>16657.29</v>
      </c>
      <c r="AM13">
        <v>16657.29</v>
      </c>
      <c r="AN13">
        <v>5536.75</v>
      </c>
      <c r="AQ13">
        <v>5536.75</v>
      </c>
      <c r="AR13">
        <v>104.73</v>
      </c>
      <c r="AT13">
        <v>104.73</v>
      </c>
      <c r="AU13">
        <v>2730.58</v>
      </c>
      <c r="AX13">
        <v>2730.58</v>
      </c>
      <c r="AY13">
        <v>64309.830000000009</v>
      </c>
      <c r="AZ13">
        <v>4160.91</v>
      </c>
      <c r="BC13">
        <v>4160.91</v>
      </c>
      <c r="BF13">
        <v>4160.91</v>
      </c>
      <c r="BT13">
        <v>98019.950000000012</v>
      </c>
      <c r="BU13" s="1"/>
      <c r="BV13" s="1"/>
    </row>
    <row r="14" spans="1:74">
      <c r="D14" s="3">
        <v>41589</v>
      </c>
      <c r="E14" s="11">
        <f t="shared" si="3"/>
        <v>105997.54000000001</v>
      </c>
      <c r="F14" s="4">
        <f t="shared" si="4"/>
        <v>69090.75</v>
      </c>
      <c r="G14" s="4">
        <f t="shared" si="5"/>
        <v>0.65181465532124605</v>
      </c>
      <c r="H14" s="4">
        <f t="shared" si="0"/>
        <v>0</v>
      </c>
      <c r="I14" s="4">
        <f t="shared" si="1"/>
        <v>0</v>
      </c>
      <c r="J14" s="4">
        <f t="shared" si="6"/>
        <v>0</v>
      </c>
      <c r="K14" s="4">
        <f t="shared" si="7"/>
        <v>0</v>
      </c>
      <c r="L14" s="4">
        <f t="shared" si="8"/>
        <v>0</v>
      </c>
      <c r="M14" s="4">
        <f t="shared" si="9"/>
        <v>0</v>
      </c>
      <c r="N14" s="4">
        <f t="shared" si="10"/>
        <v>0</v>
      </c>
      <c r="O14" s="4">
        <f t="shared" si="11"/>
        <v>0</v>
      </c>
      <c r="P14" s="4">
        <f t="shared" si="12"/>
        <v>69090.75</v>
      </c>
      <c r="Q14" s="4">
        <f t="shared" si="2"/>
        <v>0.65181465532124605</v>
      </c>
      <c r="R14" s="4">
        <v>8</v>
      </c>
      <c r="S14" s="4">
        <f t="shared" si="15"/>
        <v>68840.339787489604</v>
      </c>
      <c r="T14" s="4">
        <f t="shared" si="16"/>
        <v>0.64945224000000001</v>
      </c>
      <c r="U14" s="11">
        <f t="shared" si="13"/>
        <v>36906.790000000008</v>
      </c>
      <c r="V14" s="11">
        <f t="shared" si="14"/>
        <v>0.34818534467875389</v>
      </c>
      <c r="X14" s="3">
        <v>41589</v>
      </c>
      <c r="Y14">
        <v>5419.23</v>
      </c>
      <c r="AB14">
        <v>5419.23</v>
      </c>
      <c r="AE14">
        <v>5419.23</v>
      </c>
      <c r="AF14">
        <v>42565.32</v>
      </c>
      <c r="AI14">
        <v>42565.32</v>
      </c>
      <c r="AJ14">
        <v>17797.560000000001</v>
      </c>
      <c r="AM14">
        <v>17797.560000000001</v>
      </c>
      <c r="AN14">
        <v>5843.75</v>
      </c>
      <c r="AQ14">
        <v>5843.75</v>
      </c>
      <c r="AR14">
        <v>118.43</v>
      </c>
      <c r="AT14">
        <v>118.43</v>
      </c>
      <c r="AU14">
        <v>2765.69</v>
      </c>
      <c r="AX14">
        <v>2765.69</v>
      </c>
      <c r="AY14">
        <v>69090.75</v>
      </c>
      <c r="AZ14">
        <v>4595.6400000000003</v>
      </c>
      <c r="BC14">
        <v>4595.6400000000003</v>
      </c>
      <c r="BF14">
        <v>4595.6400000000003</v>
      </c>
      <c r="BT14">
        <v>105997.54000000001</v>
      </c>
      <c r="BU14" s="1"/>
      <c r="BV14" s="1"/>
    </row>
    <row r="15" spans="1:74">
      <c r="D15" s="3">
        <v>41596</v>
      </c>
      <c r="E15" s="11">
        <f t="shared" si="3"/>
        <v>107401.2</v>
      </c>
      <c r="F15" s="4">
        <f t="shared" si="4"/>
        <v>69515</v>
      </c>
      <c r="G15" s="4">
        <f t="shared" si="5"/>
        <v>0.64724602704625278</v>
      </c>
      <c r="H15" s="4">
        <f t="shared" si="0"/>
        <v>0</v>
      </c>
      <c r="I15" s="4">
        <f t="shared" si="1"/>
        <v>0</v>
      </c>
      <c r="J15" s="4">
        <f t="shared" si="6"/>
        <v>0</v>
      </c>
      <c r="K15" s="4">
        <f t="shared" si="7"/>
        <v>0</v>
      </c>
      <c r="L15" s="4">
        <f t="shared" si="8"/>
        <v>0</v>
      </c>
      <c r="M15" s="4">
        <f t="shared" si="9"/>
        <v>0</v>
      </c>
      <c r="N15" s="4">
        <f t="shared" si="10"/>
        <v>0</v>
      </c>
      <c r="O15" s="4">
        <f t="shared" si="11"/>
        <v>0</v>
      </c>
      <c r="P15" s="4">
        <f t="shared" si="12"/>
        <v>69515</v>
      </c>
      <c r="Q15" s="4">
        <f t="shared" si="2"/>
        <v>0.64724602704625278</v>
      </c>
      <c r="R15" s="4">
        <v>9</v>
      </c>
      <c r="S15" s="4">
        <f t="shared" si="15"/>
        <v>69803.801070023997</v>
      </c>
      <c r="T15" s="4">
        <f t="shared" si="16"/>
        <v>0.64993502000000003</v>
      </c>
      <c r="U15" s="11">
        <f t="shared" si="13"/>
        <v>37886.199999999997</v>
      </c>
      <c r="V15" s="11">
        <f t="shared" si="14"/>
        <v>0.35275397295374722</v>
      </c>
      <c r="X15" s="3">
        <v>41596</v>
      </c>
      <c r="Y15">
        <v>5526.86</v>
      </c>
      <c r="AB15">
        <v>5526.86</v>
      </c>
      <c r="AE15">
        <v>5526.86</v>
      </c>
      <c r="AF15">
        <v>42556.28</v>
      </c>
      <c r="AI15">
        <v>42556.28</v>
      </c>
      <c r="AJ15">
        <v>18172.55</v>
      </c>
      <c r="AM15">
        <v>18172.55</v>
      </c>
      <c r="AN15">
        <v>5940.03</v>
      </c>
      <c r="AQ15">
        <v>5940.03</v>
      </c>
      <c r="AR15">
        <v>118.38</v>
      </c>
      <c r="AT15">
        <v>118.38</v>
      </c>
      <c r="AU15">
        <v>2727.76</v>
      </c>
      <c r="AX15">
        <v>2727.76</v>
      </c>
      <c r="AY15">
        <v>69515</v>
      </c>
      <c r="AZ15">
        <v>4787.92</v>
      </c>
      <c r="BC15">
        <v>4787.92</v>
      </c>
      <c r="BF15">
        <v>4787.92</v>
      </c>
      <c r="BT15">
        <v>107401.2</v>
      </c>
      <c r="BU15" s="1"/>
      <c r="BV15" s="1"/>
    </row>
    <row r="16" spans="1:74">
      <c r="D16" s="3">
        <v>41603</v>
      </c>
      <c r="E16" s="11">
        <f t="shared" si="3"/>
        <v>91871.189999999988</v>
      </c>
      <c r="F16" s="4">
        <f t="shared" si="4"/>
        <v>59935.03</v>
      </c>
      <c r="G16" s="4">
        <f t="shared" si="5"/>
        <v>0.65238112187291797</v>
      </c>
      <c r="H16" s="4">
        <f t="shared" si="0"/>
        <v>0</v>
      </c>
      <c r="I16" s="4">
        <f t="shared" si="1"/>
        <v>0</v>
      </c>
      <c r="J16" s="4">
        <f t="shared" si="6"/>
        <v>0</v>
      </c>
      <c r="K16" s="4">
        <f t="shared" si="7"/>
        <v>0</v>
      </c>
      <c r="L16" s="4">
        <f t="shared" si="8"/>
        <v>0</v>
      </c>
      <c r="M16" s="4">
        <f t="shared" si="9"/>
        <v>0</v>
      </c>
      <c r="N16" s="4">
        <f t="shared" si="10"/>
        <v>0</v>
      </c>
      <c r="O16" s="4">
        <f t="shared" si="11"/>
        <v>0</v>
      </c>
      <c r="P16" s="4">
        <f t="shared" si="12"/>
        <v>59935.03</v>
      </c>
      <c r="Q16" s="4">
        <f t="shared" si="2"/>
        <v>0.65238112187291797</v>
      </c>
      <c r="R16" s="4">
        <v>10</v>
      </c>
      <c r="S16" s="4">
        <f t="shared" si="15"/>
        <v>59754.657283181994</v>
      </c>
      <c r="T16" s="4">
        <f t="shared" si="16"/>
        <v>0.65041780000000005</v>
      </c>
      <c r="U16" s="11">
        <f t="shared" si="13"/>
        <v>31936.159999999989</v>
      </c>
      <c r="V16" s="11">
        <f t="shared" si="14"/>
        <v>0.34761887812708198</v>
      </c>
      <c r="X16" s="3">
        <v>41603</v>
      </c>
      <c r="Y16">
        <v>4672.42</v>
      </c>
      <c r="AB16">
        <v>4672.42</v>
      </c>
      <c r="AE16">
        <v>4672.42</v>
      </c>
      <c r="AF16">
        <v>36089.61</v>
      </c>
      <c r="AI16">
        <v>36089.61</v>
      </c>
      <c r="AJ16">
        <v>15799.55</v>
      </c>
      <c r="AM16">
        <v>15799.55</v>
      </c>
      <c r="AN16">
        <v>5443.72</v>
      </c>
      <c r="AQ16">
        <v>5443.72</v>
      </c>
      <c r="AR16">
        <v>112.7</v>
      </c>
      <c r="AT16">
        <v>112.7</v>
      </c>
      <c r="AU16">
        <v>2489.4499999999998</v>
      </c>
      <c r="AX16">
        <v>2489.4499999999998</v>
      </c>
      <c r="AY16">
        <v>59935.03</v>
      </c>
      <c r="AZ16">
        <v>4040.82</v>
      </c>
      <c r="BC16">
        <v>4040.82</v>
      </c>
      <c r="BF16">
        <v>4040.82</v>
      </c>
      <c r="BT16">
        <v>91871.189999999988</v>
      </c>
      <c r="BU16" s="1"/>
      <c r="BV16" s="1"/>
    </row>
    <row r="17" spans="4:74">
      <c r="D17" s="3">
        <v>41610</v>
      </c>
      <c r="E17" s="11">
        <f t="shared" si="3"/>
        <v>103060.18000000002</v>
      </c>
      <c r="F17" s="4">
        <f t="shared" si="4"/>
        <v>67041.7</v>
      </c>
      <c r="G17" s="4">
        <f t="shared" si="5"/>
        <v>0.65051021645799556</v>
      </c>
      <c r="H17" s="4">
        <f t="shared" si="0"/>
        <v>0</v>
      </c>
      <c r="I17" s="4">
        <f t="shared" si="1"/>
        <v>0</v>
      </c>
      <c r="J17" s="4">
        <f t="shared" si="6"/>
        <v>0</v>
      </c>
      <c r="K17" s="4">
        <f t="shared" si="7"/>
        <v>0</v>
      </c>
      <c r="L17" s="4">
        <f t="shared" si="8"/>
        <v>0</v>
      </c>
      <c r="M17" s="4">
        <f t="shared" si="9"/>
        <v>0</v>
      </c>
      <c r="N17" s="4">
        <f t="shared" si="10"/>
        <v>0</v>
      </c>
      <c r="O17" s="4">
        <f t="shared" si="11"/>
        <v>0</v>
      </c>
      <c r="P17" s="4">
        <f t="shared" si="12"/>
        <v>67041.7</v>
      </c>
      <c r="Q17" s="4">
        <f t="shared" si="2"/>
        <v>0.65051021645799556</v>
      </c>
      <c r="R17" s="4">
        <v>11</v>
      </c>
      <c r="S17" s="4">
        <f t="shared" si="15"/>
        <v>67081.930936904406</v>
      </c>
      <c r="T17" s="4">
        <f t="shared" si="16"/>
        <v>0.65090057999999995</v>
      </c>
      <c r="U17" s="11">
        <f t="shared" si="13"/>
        <v>36018.480000000025</v>
      </c>
      <c r="V17" s="11">
        <f t="shared" si="14"/>
        <v>0.34948978354200444</v>
      </c>
      <c r="X17" s="3">
        <v>41610</v>
      </c>
      <c r="Y17">
        <v>5400.56</v>
      </c>
      <c r="AB17">
        <v>5400.56</v>
      </c>
      <c r="AE17">
        <v>5400.56</v>
      </c>
      <c r="AF17">
        <v>41085.72</v>
      </c>
      <c r="AI17">
        <v>41085.72</v>
      </c>
      <c r="AJ17">
        <v>16837.03</v>
      </c>
      <c r="AM17">
        <v>16837.03</v>
      </c>
      <c r="AN17">
        <v>6098.71</v>
      </c>
      <c r="AQ17">
        <v>6098.71</v>
      </c>
      <c r="AR17">
        <v>128.69999999999999</v>
      </c>
      <c r="AT17">
        <v>128.69999999999999</v>
      </c>
      <c r="AU17">
        <v>2891.54</v>
      </c>
      <c r="AX17">
        <v>2891.54</v>
      </c>
      <c r="AY17">
        <v>67041.7</v>
      </c>
      <c r="AZ17">
        <v>4593.55</v>
      </c>
      <c r="BC17">
        <v>4593.55</v>
      </c>
      <c r="BF17">
        <v>4593.55</v>
      </c>
      <c r="BT17">
        <v>103060.18000000002</v>
      </c>
      <c r="BU17" s="1"/>
      <c r="BV17" s="1"/>
    </row>
    <row r="18" spans="4:74">
      <c r="D18" s="3">
        <v>41617</v>
      </c>
      <c r="E18" s="11">
        <f t="shared" si="3"/>
        <v>103993.17999999998</v>
      </c>
      <c r="F18" s="4">
        <f t="shared" si="4"/>
        <v>68510.89</v>
      </c>
      <c r="G18" s="4">
        <f t="shared" si="5"/>
        <v>0.65880175988463874</v>
      </c>
      <c r="H18" s="4">
        <f t="shared" si="0"/>
        <v>0</v>
      </c>
      <c r="I18" s="4">
        <f t="shared" si="1"/>
        <v>0</v>
      </c>
      <c r="J18" s="4">
        <f t="shared" si="6"/>
        <v>0</v>
      </c>
      <c r="K18" s="4">
        <f t="shared" si="7"/>
        <v>0</v>
      </c>
      <c r="L18" s="4">
        <f t="shared" si="8"/>
        <v>0</v>
      </c>
      <c r="M18" s="4">
        <f t="shared" si="9"/>
        <v>0</v>
      </c>
      <c r="N18" s="4">
        <f t="shared" si="10"/>
        <v>0</v>
      </c>
      <c r="O18" s="4">
        <f t="shared" si="11"/>
        <v>0</v>
      </c>
      <c r="P18" s="4">
        <f t="shared" si="12"/>
        <v>68510.89</v>
      </c>
      <c r="Q18" s="4">
        <f t="shared" si="2"/>
        <v>0.65880175988463874</v>
      </c>
      <c r="R18" s="4">
        <v>12</v>
      </c>
      <c r="S18" s="4">
        <f t="shared" si="15"/>
        <v>67739.427005484788</v>
      </c>
      <c r="T18" s="4">
        <f t="shared" si="16"/>
        <v>0.65138335999999997</v>
      </c>
      <c r="U18" s="11">
        <f t="shared" si="13"/>
        <v>35482.289999999979</v>
      </c>
      <c r="V18" s="11">
        <f t="shared" si="14"/>
        <v>0.34119824011536126</v>
      </c>
      <c r="X18" s="3">
        <v>41617</v>
      </c>
      <c r="Y18">
        <v>5473.43</v>
      </c>
      <c r="AB18">
        <v>5473.43</v>
      </c>
      <c r="AE18">
        <v>5473.43</v>
      </c>
      <c r="AF18">
        <v>42460.87</v>
      </c>
      <c r="AI18">
        <v>42460.87</v>
      </c>
      <c r="AJ18">
        <v>17071.71</v>
      </c>
      <c r="AM18">
        <v>17071.71</v>
      </c>
      <c r="AN18">
        <v>6101.63</v>
      </c>
      <c r="AQ18">
        <v>6101.63</v>
      </c>
      <c r="AR18">
        <v>120.67</v>
      </c>
      <c r="AT18">
        <v>120.67</v>
      </c>
      <c r="AU18">
        <v>2756.01</v>
      </c>
      <c r="AX18">
        <v>2756.01</v>
      </c>
      <c r="AY18">
        <v>68510.89</v>
      </c>
      <c r="AZ18">
        <v>4518.8</v>
      </c>
      <c r="BC18">
        <v>4518.8</v>
      </c>
      <c r="BF18">
        <v>4518.8</v>
      </c>
      <c r="BT18">
        <v>103993.17999999998</v>
      </c>
      <c r="BU18" s="1"/>
      <c r="BV18" s="1"/>
    </row>
    <row r="19" spans="4:74">
      <c r="D19" s="3">
        <v>41624</v>
      </c>
      <c r="E19" s="11">
        <f t="shared" si="3"/>
        <v>114325.98000000001</v>
      </c>
      <c r="F19" s="4">
        <f t="shared" si="4"/>
        <v>74220.659999999989</v>
      </c>
      <c r="G19" s="4">
        <f t="shared" si="5"/>
        <v>0.64920204488953415</v>
      </c>
      <c r="H19" s="4">
        <f t="shared" si="0"/>
        <v>0</v>
      </c>
      <c r="I19" s="4">
        <f t="shared" si="1"/>
        <v>0</v>
      </c>
      <c r="J19" s="4">
        <f t="shared" si="6"/>
        <v>0</v>
      </c>
      <c r="K19" s="4">
        <f t="shared" si="7"/>
        <v>0</v>
      </c>
      <c r="L19" s="4">
        <f t="shared" si="8"/>
        <v>0</v>
      </c>
      <c r="M19" s="4">
        <f t="shared" si="9"/>
        <v>0</v>
      </c>
      <c r="N19" s="4">
        <f t="shared" si="10"/>
        <v>0</v>
      </c>
      <c r="O19" s="4">
        <f t="shared" si="11"/>
        <v>0</v>
      </c>
      <c r="P19" s="4">
        <f t="shared" si="12"/>
        <v>74220.659999999989</v>
      </c>
      <c r="Q19" s="4">
        <f t="shared" si="2"/>
        <v>0.64920204488953415</v>
      </c>
      <c r="R19" s="4">
        <v>13</v>
      </c>
      <c r="S19" s="4">
        <f t="shared" si="15"/>
        <v>74525.235284317212</v>
      </c>
      <c r="T19" s="4">
        <f t="shared" si="16"/>
        <v>0.65186613999999998</v>
      </c>
      <c r="U19" s="11">
        <f t="shared" si="13"/>
        <v>40105.320000000022</v>
      </c>
      <c r="V19" s="11">
        <f t="shared" si="14"/>
        <v>0.35079795511046585</v>
      </c>
      <c r="X19" s="3">
        <v>41624</v>
      </c>
      <c r="Y19">
        <v>5966.66</v>
      </c>
      <c r="AB19">
        <v>5966.66</v>
      </c>
      <c r="AE19">
        <v>5966.66</v>
      </c>
      <c r="AF19">
        <v>46740.24</v>
      </c>
      <c r="AI19">
        <v>46740.24</v>
      </c>
      <c r="AJ19">
        <v>17864.939999999999</v>
      </c>
      <c r="AM19">
        <v>17864.939999999999</v>
      </c>
      <c r="AN19">
        <v>6474.21</v>
      </c>
      <c r="AQ19">
        <v>6474.21</v>
      </c>
      <c r="AR19">
        <v>143.37</v>
      </c>
      <c r="AT19">
        <v>143.37</v>
      </c>
      <c r="AU19">
        <v>2997.9</v>
      </c>
      <c r="AX19">
        <v>2997.9</v>
      </c>
      <c r="AY19">
        <v>74220.659999999989</v>
      </c>
      <c r="AZ19">
        <v>5196.93</v>
      </c>
      <c r="BC19">
        <v>5196.93</v>
      </c>
      <c r="BF19">
        <v>5196.93</v>
      </c>
      <c r="BT19">
        <v>114325.98000000001</v>
      </c>
      <c r="BU19" s="1"/>
      <c r="BV19" s="1"/>
    </row>
    <row r="20" spans="4:74">
      <c r="D20" s="3">
        <v>41631</v>
      </c>
      <c r="E20" s="11">
        <f t="shared" si="3"/>
        <v>115966.02</v>
      </c>
      <c r="F20" s="4">
        <f t="shared" si="4"/>
        <v>74445.100000000006</v>
      </c>
      <c r="G20" s="4">
        <f t="shared" si="5"/>
        <v>0.64195615232806991</v>
      </c>
      <c r="H20" s="4">
        <f t="shared" si="0"/>
        <v>0</v>
      </c>
      <c r="I20" s="4">
        <f t="shared" si="1"/>
        <v>0</v>
      </c>
      <c r="J20" s="4">
        <f t="shared" si="6"/>
        <v>0</v>
      </c>
      <c r="K20" s="4">
        <f t="shared" si="7"/>
        <v>0</v>
      </c>
      <c r="L20" s="4">
        <f t="shared" si="8"/>
        <v>0</v>
      </c>
      <c r="M20" s="4">
        <f t="shared" si="9"/>
        <v>0</v>
      </c>
      <c r="N20" s="4">
        <f t="shared" si="10"/>
        <v>0</v>
      </c>
      <c r="O20" s="4">
        <f t="shared" si="11"/>
        <v>0</v>
      </c>
      <c r="P20" s="4">
        <f t="shared" si="12"/>
        <v>74445.100000000006</v>
      </c>
      <c r="Q20" s="4">
        <f t="shared" si="2"/>
        <v>0.64195615232806991</v>
      </c>
      <c r="R20" s="4">
        <v>14</v>
      </c>
      <c r="S20" s="4">
        <f t="shared" si="15"/>
        <v>75650.307903698398</v>
      </c>
      <c r="T20" s="4">
        <f t="shared" si="16"/>
        <v>0.65234892</v>
      </c>
      <c r="U20" s="11">
        <f t="shared" si="13"/>
        <v>41520.92</v>
      </c>
      <c r="V20" s="11">
        <f t="shared" si="14"/>
        <v>0.35804384767193009</v>
      </c>
      <c r="X20" s="3">
        <v>41631</v>
      </c>
      <c r="Y20">
        <v>6430.09</v>
      </c>
      <c r="AB20">
        <v>6430.09</v>
      </c>
      <c r="AE20">
        <v>6430.09</v>
      </c>
      <c r="AF20">
        <v>48858.95</v>
      </c>
      <c r="AI20">
        <v>48858.95</v>
      </c>
      <c r="AJ20">
        <v>16648.27</v>
      </c>
      <c r="AM20">
        <v>16648.27</v>
      </c>
      <c r="AN20">
        <v>6013.99</v>
      </c>
      <c r="AQ20">
        <v>6013.99</v>
      </c>
      <c r="AR20">
        <v>116.17</v>
      </c>
      <c r="AT20">
        <v>116.17</v>
      </c>
      <c r="AU20">
        <v>2807.72</v>
      </c>
      <c r="AX20">
        <v>2807.72</v>
      </c>
      <c r="AY20">
        <v>74445.100000000006</v>
      </c>
      <c r="AZ20">
        <v>5616.61</v>
      </c>
      <c r="BC20">
        <v>5616.61</v>
      </c>
      <c r="BF20">
        <v>5616.61</v>
      </c>
      <c r="BT20">
        <v>115966.02</v>
      </c>
      <c r="BU20" s="1"/>
      <c r="BV20" s="1"/>
    </row>
    <row r="21" spans="4:74">
      <c r="D21" s="3">
        <v>41638</v>
      </c>
      <c r="E21" s="11">
        <f t="shared" si="3"/>
        <v>97866.37</v>
      </c>
      <c r="F21" s="4">
        <f t="shared" si="4"/>
        <v>64650.240000000005</v>
      </c>
      <c r="G21" s="4">
        <f t="shared" si="5"/>
        <v>0.66059709785905019</v>
      </c>
      <c r="H21" s="4">
        <f t="shared" si="0"/>
        <v>0</v>
      </c>
      <c r="I21" s="4">
        <f t="shared" si="1"/>
        <v>0</v>
      </c>
      <c r="J21" s="4">
        <f t="shared" si="6"/>
        <v>0</v>
      </c>
      <c r="K21" s="4">
        <f t="shared" si="7"/>
        <v>0</v>
      </c>
      <c r="L21" s="4">
        <f t="shared" si="8"/>
        <v>0</v>
      </c>
      <c r="M21" s="4">
        <f t="shared" si="9"/>
        <v>0</v>
      </c>
      <c r="N21" s="4">
        <f t="shared" si="10"/>
        <v>0</v>
      </c>
      <c r="O21" s="4">
        <f t="shared" si="11"/>
        <v>0</v>
      </c>
      <c r="P21" s="4">
        <f t="shared" si="12"/>
        <v>64650.240000000005</v>
      </c>
      <c r="Q21" s="4">
        <f t="shared" si="2"/>
        <v>0.66059709785905019</v>
      </c>
      <c r="R21" s="4">
        <v>15</v>
      </c>
      <c r="S21" s="4">
        <f t="shared" si="15"/>
        <v>63890.268699929002</v>
      </c>
      <c r="T21" s="4">
        <f t="shared" si="16"/>
        <v>0.65283170000000001</v>
      </c>
      <c r="U21" s="11">
        <f t="shared" si="13"/>
        <v>33216.12999999999</v>
      </c>
      <c r="V21" s="11">
        <f t="shared" si="14"/>
        <v>0.33940290214094987</v>
      </c>
      <c r="X21" s="3">
        <v>41638</v>
      </c>
      <c r="Y21">
        <v>5032.74</v>
      </c>
      <c r="AB21">
        <v>5032.74</v>
      </c>
      <c r="AE21">
        <v>5032.74</v>
      </c>
      <c r="AF21">
        <v>40733.54</v>
      </c>
      <c r="AI21">
        <v>40733.54</v>
      </c>
      <c r="AJ21">
        <v>15654.22</v>
      </c>
      <c r="AM21">
        <v>15654.22</v>
      </c>
      <c r="AN21">
        <v>5527.95</v>
      </c>
      <c r="AQ21">
        <v>5527.95</v>
      </c>
      <c r="AR21">
        <v>136.66</v>
      </c>
      <c r="AT21">
        <v>136.66</v>
      </c>
      <c r="AU21">
        <v>2597.87</v>
      </c>
      <c r="AX21">
        <v>2597.87</v>
      </c>
      <c r="AY21">
        <v>64650.240000000005</v>
      </c>
      <c r="AZ21">
        <v>4316.87</v>
      </c>
      <c r="BC21">
        <v>4316.87</v>
      </c>
      <c r="BF21">
        <v>4316.87</v>
      </c>
      <c r="BT21">
        <v>97866.37</v>
      </c>
      <c r="BU21" s="1"/>
      <c r="BV21" s="1"/>
    </row>
    <row r="22" spans="4:74">
      <c r="D22" s="3">
        <v>41645</v>
      </c>
      <c r="E22" s="11">
        <f t="shared" si="3"/>
        <v>106072.59999999998</v>
      </c>
      <c r="F22" s="4">
        <f t="shared" si="4"/>
        <v>69923.98</v>
      </c>
      <c r="G22" s="4">
        <f t="shared" si="5"/>
        <v>0.65920869291409856</v>
      </c>
      <c r="H22" s="4">
        <f t="shared" si="0"/>
        <v>0</v>
      </c>
      <c r="I22" s="4">
        <f t="shared" si="1"/>
        <v>0</v>
      </c>
      <c r="J22" s="4">
        <f t="shared" si="6"/>
        <v>0</v>
      </c>
      <c r="K22" s="4">
        <f t="shared" si="7"/>
        <v>0</v>
      </c>
      <c r="L22" s="4">
        <f t="shared" si="8"/>
        <v>0</v>
      </c>
      <c r="M22" s="4">
        <f t="shared" si="9"/>
        <v>0</v>
      </c>
      <c r="N22" s="4">
        <f t="shared" si="10"/>
        <v>0</v>
      </c>
      <c r="O22" s="4">
        <f t="shared" si="11"/>
        <v>0</v>
      </c>
      <c r="P22" s="4">
        <f t="shared" si="12"/>
        <v>69923.98</v>
      </c>
      <c r="Q22" s="4">
        <f t="shared" si="2"/>
        <v>0.65920869291409856</v>
      </c>
      <c r="R22" s="4">
        <v>16</v>
      </c>
      <c r="S22" s="4">
        <f t="shared" si="15"/>
        <v>69298.765511247984</v>
      </c>
      <c r="T22" s="4">
        <f t="shared" si="16"/>
        <v>0.65331448000000003</v>
      </c>
      <c r="U22" s="11">
        <f t="shared" si="13"/>
        <v>36148.619999999981</v>
      </c>
      <c r="V22" s="11">
        <f t="shared" si="14"/>
        <v>0.34079130708590144</v>
      </c>
      <c r="X22" s="3">
        <v>41645</v>
      </c>
      <c r="Z22">
        <v>5346.4</v>
      </c>
      <c r="AB22">
        <v>5346.4</v>
      </c>
      <c r="AE22">
        <v>5346.4</v>
      </c>
      <c r="AG22">
        <v>41826.32</v>
      </c>
      <c r="AI22">
        <v>41826.32</v>
      </c>
      <c r="AK22">
        <v>16891.93</v>
      </c>
      <c r="AM22">
        <v>16891.93</v>
      </c>
      <c r="AO22">
        <v>8319.25</v>
      </c>
      <c r="AQ22">
        <v>8319.25</v>
      </c>
      <c r="AS22">
        <v>129.41999999999999</v>
      </c>
      <c r="AT22">
        <v>129.41999999999999</v>
      </c>
      <c r="AV22">
        <v>2757.06</v>
      </c>
      <c r="AX22">
        <v>2757.06</v>
      </c>
      <c r="AY22">
        <v>69923.98</v>
      </c>
      <c r="BA22">
        <v>4638.34</v>
      </c>
      <c r="BC22">
        <v>4638.34</v>
      </c>
      <c r="BF22">
        <v>4638.34</v>
      </c>
      <c r="BT22">
        <v>106072.59999999998</v>
      </c>
      <c r="BU22" s="1"/>
      <c r="BV22" s="1"/>
    </row>
    <row r="23" spans="4:74">
      <c r="D23" s="3">
        <v>41652</v>
      </c>
      <c r="E23" s="11">
        <f t="shared" si="3"/>
        <v>103432.15999999999</v>
      </c>
      <c r="F23" s="4">
        <f t="shared" si="4"/>
        <v>66917.64</v>
      </c>
      <c r="G23" s="4">
        <f t="shared" si="5"/>
        <v>0.6469713095037366</v>
      </c>
      <c r="H23" s="4">
        <f t="shared" si="0"/>
        <v>0</v>
      </c>
      <c r="I23" s="4">
        <f t="shared" si="1"/>
        <v>0</v>
      </c>
      <c r="J23" s="4">
        <f t="shared" si="6"/>
        <v>0</v>
      </c>
      <c r="K23" s="4">
        <f t="shared" si="7"/>
        <v>0</v>
      </c>
      <c r="L23" s="4">
        <f t="shared" si="8"/>
        <v>0</v>
      </c>
      <c r="M23" s="4">
        <f t="shared" si="9"/>
        <v>0</v>
      </c>
      <c r="N23" s="4">
        <f t="shared" si="10"/>
        <v>0</v>
      </c>
      <c r="O23" s="4">
        <f t="shared" si="11"/>
        <v>0</v>
      </c>
      <c r="P23" s="4">
        <f t="shared" si="12"/>
        <v>66917.64</v>
      </c>
      <c r="Q23" s="4">
        <f t="shared" si="2"/>
        <v>0.6469713095037366</v>
      </c>
      <c r="R23" s="4">
        <v>17</v>
      </c>
      <c r="S23" s="4">
        <f t="shared" si="15"/>
        <v>67623.662803881598</v>
      </c>
      <c r="T23" s="4">
        <f t="shared" si="16"/>
        <v>0.65379726000000005</v>
      </c>
      <c r="U23" s="11">
        <f t="shared" si="13"/>
        <v>36514.51999999999</v>
      </c>
      <c r="V23" s="11">
        <f t="shared" si="14"/>
        <v>0.3530286904962634</v>
      </c>
      <c r="X23" s="3">
        <v>41652</v>
      </c>
      <c r="Z23">
        <v>5583.09</v>
      </c>
      <c r="AB23">
        <v>5583.09</v>
      </c>
      <c r="AE23">
        <v>5583.09</v>
      </c>
      <c r="AG23">
        <v>41344.1</v>
      </c>
      <c r="AI23">
        <v>41344.1</v>
      </c>
      <c r="AK23">
        <v>16222.9</v>
      </c>
      <c r="AM23">
        <v>16222.9</v>
      </c>
      <c r="AO23">
        <v>6323.45</v>
      </c>
      <c r="AQ23">
        <v>6323.45</v>
      </c>
      <c r="AS23">
        <v>118.15</v>
      </c>
      <c r="AT23">
        <v>118.15</v>
      </c>
      <c r="AV23">
        <v>2909.04</v>
      </c>
      <c r="AX23">
        <v>2909.04</v>
      </c>
      <c r="AY23">
        <v>66917.64</v>
      </c>
      <c r="BA23">
        <v>4668.54</v>
      </c>
      <c r="BC23">
        <v>4668.54</v>
      </c>
      <c r="BF23">
        <v>4668.54</v>
      </c>
      <c r="BT23">
        <v>103432.15999999999</v>
      </c>
      <c r="BU23" s="1"/>
      <c r="BV23" s="1"/>
    </row>
    <row r="24" spans="4:74">
      <c r="D24" s="3">
        <v>41659</v>
      </c>
      <c r="E24" s="11">
        <f t="shared" si="3"/>
        <v>105754</v>
      </c>
      <c r="F24" s="4">
        <f t="shared" si="4"/>
        <v>67535.25</v>
      </c>
      <c r="G24" s="4">
        <f t="shared" si="5"/>
        <v>0.63860705032433762</v>
      </c>
      <c r="H24" s="4">
        <f t="shared" si="0"/>
        <v>0</v>
      </c>
      <c r="I24" s="4">
        <f t="shared" si="1"/>
        <v>0</v>
      </c>
      <c r="J24" s="4">
        <f t="shared" si="6"/>
        <v>0</v>
      </c>
      <c r="K24" s="4">
        <f t="shared" si="7"/>
        <v>0</v>
      </c>
      <c r="L24" s="4">
        <f t="shared" si="8"/>
        <v>0</v>
      </c>
      <c r="M24" s="4">
        <f t="shared" si="9"/>
        <v>0</v>
      </c>
      <c r="N24" s="4">
        <f t="shared" si="10"/>
        <v>0</v>
      </c>
      <c r="O24" s="4">
        <f t="shared" si="11"/>
        <v>0</v>
      </c>
      <c r="P24" s="4">
        <f t="shared" si="12"/>
        <v>67535.25</v>
      </c>
      <c r="Q24" s="4">
        <f t="shared" si="2"/>
        <v>0.63860705032433762</v>
      </c>
      <c r="R24" s="4">
        <v>18</v>
      </c>
      <c r="S24" s="4">
        <f t="shared" si="15"/>
        <v>69192.73135016</v>
      </c>
      <c r="T24" s="4">
        <f t="shared" si="16"/>
        <v>0.65428003999999995</v>
      </c>
      <c r="U24" s="11">
        <f t="shared" si="13"/>
        <v>38218.75</v>
      </c>
      <c r="V24" s="11">
        <f t="shared" si="14"/>
        <v>0.36139294967566238</v>
      </c>
      <c r="X24" s="3">
        <v>41659</v>
      </c>
      <c r="Z24">
        <v>5516.2</v>
      </c>
      <c r="AB24">
        <v>5516.2</v>
      </c>
      <c r="AE24">
        <v>5516.2</v>
      </c>
      <c r="AG24">
        <v>43208.74</v>
      </c>
      <c r="AI24">
        <v>43208.74</v>
      </c>
      <c r="AK24">
        <v>15553.19</v>
      </c>
      <c r="AM24">
        <v>15553.19</v>
      </c>
      <c r="AO24">
        <v>5783.1</v>
      </c>
      <c r="AQ24">
        <v>5783.1</v>
      </c>
      <c r="AS24">
        <v>82.98</v>
      </c>
      <c r="AT24">
        <v>82.98</v>
      </c>
      <c r="AV24">
        <v>2907.24</v>
      </c>
      <c r="AX24">
        <v>2907.24</v>
      </c>
      <c r="AY24">
        <v>67535.25</v>
      </c>
      <c r="BA24">
        <v>4928.83</v>
      </c>
      <c r="BC24">
        <v>4928.83</v>
      </c>
      <c r="BF24">
        <v>4928.83</v>
      </c>
      <c r="BT24">
        <v>105754</v>
      </c>
      <c r="BU24" s="1"/>
      <c r="BV24" s="1"/>
    </row>
    <row r="25" spans="4:74">
      <c r="D25" s="3">
        <v>41666</v>
      </c>
      <c r="E25" s="11">
        <f t="shared" si="3"/>
        <v>102448.28</v>
      </c>
      <c r="F25" s="4">
        <f t="shared" si="4"/>
        <v>64456.3</v>
      </c>
      <c r="G25" s="4">
        <f t="shared" si="5"/>
        <v>0.62915941585354096</v>
      </c>
      <c r="H25" s="4">
        <f t="shared" si="0"/>
        <v>0</v>
      </c>
      <c r="I25" s="4">
        <f t="shared" si="1"/>
        <v>0</v>
      </c>
      <c r="J25" s="4">
        <f t="shared" si="6"/>
        <v>0</v>
      </c>
      <c r="K25" s="4">
        <f t="shared" si="7"/>
        <v>0</v>
      </c>
      <c r="L25" s="4">
        <f t="shared" si="8"/>
        <v>0</v>
      </c>
      <c r="M25" s="4">
        <f t="shared" si="9"/>
        <v>0</v>
      </c>
      <c r="N25" s="4">
        <f t="shared" si="10"/>
        <v>0</v>
      </c>
      <c r="O25" s="4">
        <f t="shared" si="11"/>
        <v>0</v>
      </c>
      <c r="P25" s="4">
        <f t="shared" si="12"/>
        <v>64456.3</v>
      </c>
      <c r="Q25" s="4">
        <f t="shared" si="2"/>
        <v>0.62915941585354096</v>
      </c>
      <c r="R25" s="4">
        <v>19</v>
      </c>
      <c r="S25" s="4">
        <f t="shared" si="15"/>
        <v>67079.324716949603</v>
      </c>
      <c r="T25" s="4">
        <f t="shared" si="16"/>
        <v>0.65476281999999997</v>
      </c>
      <c r="U25" s="11">
        <f t="shared" si="13"/>
        <v>37991.979999999996</v>
      </c>
      <c r="V25" s="11">
        <f t="shared" si="14"/>
        <v>0.37084058414645904</v>
      </c>
      <c r="X25" s="3">
        <v>41666</v>
      </c>
      <c r="Z25">
        <v>5382.35</v>
      </c>
      <c r="AB25">
        <v>5382.35</v>
      </c>
      <c r="AE25">
        <v>5382.35</v>
      </c>
      <c r="AG25">
        <v>41729.94</v>
      </c>
      <c r="AI25">
        <v>41729.94</v>
      </c>
      <c r="AK25">
        <v>14095.5</v>
      </c>
      <c r="AM25">
        <v>14095.5</v>
      </c>
      <c r="AO25">
        <v>5560.58</v>
      </c>
      <c r="AQ25">
        <v>5560.58</v>
      </c>
      <c r="AS25">
        <v>27.34</v>
      </c>
      <c r="AT25">
        <v>27.34</v>
      </c>
      <c r="AV25">
        <v>3042.94</v>
      </c>
      <c r="AX25">
        <v>3042.94</v>
      </c>
      <c r="AY25">
        <v>64456.3</v>
      </c>
      <c r="BA25">
        <v>4735.1000000000004</v>
      </c>
      <c r="BC25">
        <v>4735.1000000000004</v>
      </c>
      <c r="BF25">
        <v>4735.1000000000004</v>
      </c>
      <c r="BT25">
        <v>102448.28</v>
      </c>
      <c r="BU25" s="1"/>
      <c r="BV25" s="1"/>
    </row>
    <row r="26" spans="4:74">
      <c r="D26" s="3">
        <v>41673</v>
      </c>
      <c r="E26" s="11">
        <f t="shared" si="3"/>
        <v>95813.88999999997</v>
      </c>
      <c r="F26" s="4">
        <f t="shared" si="4"/>
        <v>61864.110000000008</v>
      </c>
      <c r="G26" s="4">
        <f t="shared" si="5"/>
        <v>0.64566953705772756</v>
      </c>
      <c r="H26" s="4">
        <f t="shared" si="0"/>
        <v>0</v>
      </c>
      <c r="I26" s="4">
        <f t="shared" si="1"/>
        <v>0</v>
      </c>
      <c r="J26" s="4">
        <f t="shared" si="6"/>
        <v>0</v>
      </c>
      <c r="K26" s="4">
        <f t="shared" si="7"/>
        <v>0</v>
      </c>
      <c r="L26" s="4">
        <f t="shared" si="8"/>
        <v>0</v>
      </c>
      <c r="M26" s="4">
        <f t="shared" si="9"/>
        <v>0</v>
      </c>
      <c r="N26" s="4">
        <f t="shared" si="10"/>
        <v>0</v>
      </c>
      <c r="O26" s="4">
        <f t="shared" si="11"/>
        <v>0</v>
      </c>
      <c r="P26" s="4">
        <f t="shared" si="12"/>
        <v>61864.110000000008</v>
      </c>
      <c r="Q26" s="4">
        <f t="shared" si="2"/>
        <v>0.64566953705772756</v>
      </c>
      <c r="R26" s="4">
        <v>20</v>
      </c>
      <c r="S26" s="4">
        <f t="shared" si="15"/>
        <v>62781.629841383976</v>
      </c>
      <c r="T26" s="4">
        <f t="shared" si="16"/>
        <v>0.65524559999999998</v>
      </c>
      <c r="U26" s="11">
        <f t="shared" si="13"/>
        <v>33949.779999999962</v>
      </c>
      <c r="V26" s="11">
        <f t="shared" si="14"/>
        <v>0.35433046294227249</v>
      </c>
      <c r="X26" s="3">
        <v>41673</v>
      </c>
      <c r="Z26">
        <v>5213.74</v>
      </c>
      <c r="AB26">
        <v>5213.74</v>
      </c>
      <c r="AE26">
        <v>5213.74</v>
      </c>
      <c r="AG26">
        <v>38721.24</v>
      </c>
      <c r="AI26">
        <v>38721.24</v>
      </c>
      <c r="AK26">
        <v>14965.34</v>
      </c>
      <c r="AM26">
        <v>14965.34</v>
      </c>
      <c r="AO26">
        <v>5238.29</v>
      </c>
      <c r="AQ26">
        <v>5238.29</v>
      </c>
      <c r="AS26">
        <v>99.01</v>
      </c>
      <c r="AT26">
        <v>99.01</v>
      </c>
      <c r="AV26">
        <v>2840.23</v>
      </c>
      <c r="AX26">
        <v>2840.23</v>
      </c>
      <c r="AY26">
        <v>61864.110000000008</v>
      </c>
      <c r="BA26">
        <v>4549.96</v>
      </c>
      <c r="BC26">
        <v>4549.96</v>
      </c>
      <c r="BF26">
        <v>4549.96</v>
      </c>
      <c r="BT26">
        <v>95813.88999999997</v>
      </c>
      <c r="BU26" s="1"/>
      <c r="BV26" s="1"/>
    </row>
    <row r="27" spans="4:74">
      <c r="D27" s="3">
        <v>41680</v>
      </c>
      <c r="E27" s="11">
        <f t="shared" si="3"/>
        <v>105299.08999999998</v>
      </c>
      <c r="F27" s="4">
        <f t="shared" si="4"/>
        <v>69926.7</v>
      </c>
      <c r="G27" s="4">
        <f t="shared" si="5"/>
        <v>0.66407696400795113</v>
      </c>
      <c r="H27" s="4">
        <f t="shared" si="0"/>
        <v>0</v>
      </c>
      <c r="I27" s="4">
        <f t="shared" si="1"/>
        <v>0</v>
      </c>
      <c r="J27" s="4">
        <f t="shared" si="6"/>
        <v>0</v>
      </c>
      <c r="K27" s="4">
        <f t="shared" si="7"/>
        <v>0</v>
      </c>
      <c r="L27" s="4">
        <f t="shared" si="8"/>
        <v>0</v>
      </c>
      <c r="M27" s="4">
        <f t="shared" si="9"/>
        <v>0</v>
      </c>
      <c r="N27" s="4">
        <f t="shared" si="10"/>
        <v>0</v>
      </c>
      <c r="O27" s="4">
        <f t="shared" si="11"/>
        <v>0</v>
      </c>
      <c r="P27" s="4">
        <f t="shared" si="12"/>
        <v>69926.7</v>
      </c>
      <c r="Q27" s="4">
        <f t="shared" si="2"/>
        <v>0.66407696400795113</v>
      </c>
      <c r="R27" s="4">
        <v>21</v>
      </c>
      <c r="S27" s="4">
        <f t="shared" si="15"/>
        <v>69047.601701174193</v>
      </c>
      <c r="T27" s="4">
        <f t="shared" si="16"/>
        <v>0.65572838</v>
      </c>
      <c r="U27" s="11">
        <f t="shared" si="13"/>
        <v>35372.389999999985</v>
      </c>
      <c r="V27" s="11">
        <f t="shared" si="14"/>
        <v>0.33592303599204887</v>
      </c>
      <c r="X27" s="3">
        <v>41680</v>
      </c>
      <c r="Z27">
        <v>5572.45</v>
      </c>
      <c r="AB27">
        <v>5572.45</v>
      </c>
      <c r="AE27">
        <v>5572.45</v>
      </c>
      <c r="AG27">
        <v>44217.29</v>
      </c>
      <c r="AI27">
        <v>44217.29</v>
      </c>
      <c r="AK27">
        <v>16653.5</v>
      </c>
      <c r="AM27">
        <v>16653.5</v>
      </c>
      <c r="AO27">
        <v>5850.09</v>
      </c>
      <c r="AQ27">
        <v>5850.09</v>
      </c>
      <c r="AS27">
        <v>113.45</v>
      </c>
      <c r="AT27">
        <v>113.45</v>
      </c>
      <c r="AV27">
        <v>3092.37</v>
      </c>
      <c r="AX27">
        <v>3092.37</v>
      </c>
      <c r="AY27">
        <v>69926.7</v>
      </c>
      <c r="BA27">
        <v>4777.12</v>
      </c>
      <c r="BC27">
        <v>4777.12</v>
      </c>
      <c r="BF27">
        <v>4777.12</v>
      </c>
      <c r="BT27">
        <v>105299.08999999998</v>
      </c>
      <c r="BU27" s="1"/>
      <c r="BV27" s="1"/>
    </row>
    <row r="28" spans="4:74">
      <c r="D28" s="3">
        <v>41687</v>
      </c>
      <c r="E28" s="11">
        <f t="shared" si="3"/>
        <v>114668.09000000003</v>
      </c>
      <c r="F28" s="4">
        <f t="shared" si="4"/>
        <v>78122.37000000001</v>
      </c>
      <c r="G28" s="4">
        <f t="shared" si="5"/>
        <v>0.68129128164600972</v>
      </c>
      <c r="H28" s="4">
        <f t="shared" si="0"/>
        <v>0</v>
      </c>
      <c r="I28" s="4">
        <f t="shared" si="1"/>
        <v>0</v>
      </c>
      <c r="J28" s="4">
        <f t="shared" si="6"/>
        <v>0</v>
      </c>
      <c r="K28" s="4">
        <f t="shared" si="7"/>
        <v>0</v>
      </c>
      <c r="L28" s="4">
        <f t="shared" si="8"/>
        <v>0</v>
      </c>
      <c r="M28" s="4">
        <f t="shared" si="9"/>
        <v>0</v>
      </c>
      <c r="N28" s="4">
        <f t="shared" si="10"/>
        <v>0</v>
      </c>
      <c r="O28" s="4">
        <f t="shared" si="11"/>
        <v>0</v>
      </c>
      <c r="P28" s="4">
        <f t="shared" si="12"/>
        <v>78122.37000000001</v>
      </c>
      <c r="Q28" s="4">
        <f t="shared" si="2"/>
        <v>0.68129128164600972</v>
      </c>
      <c r="R28" s="4">
        <v>22</v>
      </c>
      <c r="S28" s="4">
        <f t="shared" si="15"/>
        <v>75246.480353884413</v>
      </c>
      <c r="T28" s="4">
        <f t="shared" si="16"/>
        <v>0.65621116000000002</v>
      </c>
      <c r="U28" s="11">
        <f t="shared" si="13"/>
        <v>36545.720000000016</v>
      </c>
      <c r="V28" s="11">
        <f t="shared" si="14"/>
        <v>0.31870871835399028</v>
      </c>
      <c r="X28" s="3">
        <v>41687</v>
      </c>
      <c r="Z28">
        <v>5681.34</v>
      </c>
      <c r="AB28">
        <v>5681.34</v>
      </c>
      <c r="AE28">
        <v>5681.34</v>
      </c>
      <c r="AG28">
        <v>49141.919999999998</v>
      </c>
      <c r="AI28">
        <v>49141.919999999998</v>
      </c>
      <c r="AK28">
        <v>18306.740000000002</v>
      </c>
      <c r="AM28">
        <v>18306.740000000002</v>
      </c>
      <c r="AO28">
        <v>6889.57</v>
      </c>
      <c r="AQ28">
        <v>6889.57</v>
      </c>
      <c r="AS28">
        <v>119.25</v>
      </c>
      <c r="AT28">
        <v>119.25</v>
      </c>
      <c r="AV28">
        <v>3664.89</v>
      </c>
      <c r="AX28">
        <v>3664.89</v>
      </c>
      <c r="AY28">
        <v>78122.37000000001</v>
      </c>
      <c r="BA28">
        <v>4682.99</v>
      </c>
      <c r="BC28">
        <v>4682.99</v>
      </c>
      <c r="BF28">
        <v>4682.99</v>
      </c>
      <c r="BT28">
        <v>114668.09000000003</v>
      </c>
      <c r="BU28" s="1"/>
      <c r="BV28" s="1"/>
    </row>
    <row r="29" spans="4:74">
      <c r="D29" s="3">
        <v>41694</v>
      </c>
      <c r="E29" s="11">
        <f t="shared" si="3"/>
        <v>108756.57</v>
      </c>
      <c r="F29" s="4">
        <f t="shared" si="4"/>
        <v>72881.250000000015</v>
      </c>
      <c r="G29" s="4">
        <f t="shared" si="5"/>
        <v>0.67013192858141823</v>
      </c>
      <c r="H29" s="4">
        <f t="shared" si="0"/>
        <v>0</v>
      </c>
      <c r="I29" s="4">
        <f t="shared" si="1"/>
        <v>0</v>
      </c>
      <c r="J29" s="4">
        <f t="shared" si="6"/>
        <v>0</v>
      </c>
      <c r="K29" s="4">
        <f t="shared" si="7"/>
        <v>0</v>
      </c>
      <c r="L29" s="4">
        <f t="shared" si="8"/>
        <v>0</v>
      </c>
      <c r="M29" s="4">
        <f t="shared" si="9"/>
        <v>0</v>
      </c>
      <c r="N29" s="4">
        <f t="shared" si="10"/>
        <v>0</v>
      </c>
      <c r="O29" s="4">
        <f t="shared" si="11"/>
        <v>0</v>
      </c>
      <c r="P29" s="4">
        <f t="shared" si="12"/>
        <v>72881.250000000015</v>
      </c>
      <c r="Q29" s="4">
        <f t="shared" si="2"/>
        <v>0.67013192858141823</v>
      </c>
      <c r="R29" s="4">
        <v>23</v>
      </c>
      <c r="S29" s="4">
        <f t="shared" si="15"/>
        <v>71419.780454185806</v>
      </c>
      <c r="T29" s="4">
        <f t="shared" si="16"/>
        <v>0.65669394000000003</v>
      </c>
      <c r="U29" s="11">
        <f t="shared" si="13"/>
        <v>35875.319999999992</v>
      </c>
      <c r="V29" s="11">
        <f t="shared" si="14"/>
        <v>0.32986807141858182</v>
      </c>
      <c r="X29" s="3">
        <v>41694</v>
      </c>
      <c r="Z29">
        <v>5599.42</v>
      </c>
      <c r="AB29">
        <v>5599.42</v>
      </c>
      <c r="AE29">
        <v>5599.42</v>
      </c>
      <c r="AG29">
        <v>45556.66</v>
      </c>
      <c r="AI29">
        <v>45556.66</v>
      </c>
      <c r="AK29">
        <v>17253.77</v>
      </c>
      <c r="AM29">
        <v>17253.77</v>
      </c>
      <c r="AO29">
        <v>6553.49</v>
      </c>
      <c r="AQ29">
        <v>6553.49</v>
      </c>
      <c r="AS29">
        <v>105.63</v>
      </c>
      <c r="AT29">
        <v>105.63</v>
      </c>
      <c r="AV29">
        <v>3411.7</v>
      </c>
      <c r="AX29">
        <v>3411.7</v>
      </c>
      <c r="AY29">
        <v>72881.250000000015</v>
      </c>
      <c r="BA29">
        <v>4699.4799999999996</v>
      </c>
      <c r="BC29">
        <v>4699.4799999999996</v>
      </c>
      <c r="BF29">
        <v>4699.4799999999996</v>
      </c>
      <c r="BT29">
        <v>108756.57</v>
      </c>
      <c r="BU29" s="1"/>
      <c r="BV29" s="1"/>
    </row>
    <row r="30" spans="4:74">
      <c r="D30" s="3">
        <v>41701</v>
      </c>
      <c r="E30" s="11">
        <f t="shared" si="3"/>
        <v>112202.56</v>
      </c>
      <c r="F30" s="4">
        <f t="shared" si="4"/>
        <v>75738.030000000013</v>
      </c>
      <c r="G30" s="4">
        <f t="shared" si="5"/>
        <v>0.67501160401331317</v>
      </c>
      <c r="H30" s="4">
        <f t="shared" si="0"/>
        <v>0</v>
      </c>
      <c r="I30" s="4">
        <f t="shared" si="1"/>
        <v>0</v>
      </c>
      <c r="J30" s="4">
        <f t="shared" si="6"/>
        <v>0</v>
      </c>
      <c r="K30" s="4">
        <f t="shared" si="7"/>
        <v>0</v>
      </c>
      <c r="L30" s="4">
        <f t="shared" si="8"/>
        <v>0</v>
      </c>
      <c r="M30" s="4">
        <f t="shared" si="9"/>
        <v>0</v>
      </c>
      <c r="N30" s="4">
        <f t="shared" si="10"/>
        <v>0</v>
      </c>
      <c r="O30" s="4">
        <f t="shared" si="11"/>
        <v>0</v>
      </c>
      <c r="P30" s="4">
        <f t="shared" si="12"/>
        <v>75738.030000000013</v>
      </c>
      <c r="Q30" s="4">
        <f t="shared" si="2"/>
        <v>0.67501160401331317</v>
      </c>
      <c r="R30" s="4">
        <v>24</v>
      </c>
      <c r="S30" s="4">
        <f t="shared" si="15"/>
        <v>73736.910356403198</v>
      </c>
      <c r="T30" s="4">
        <f t="shared" si="16"/>
        <v>0.65717672000000005</v>
      </c>
      <c r="U30" s="11">
        <f t="shared" si="13"/>
        <v>36464.529999999984</v>
      </c>
      <c r="V30" s="11">
        <f t="shared" si="14"/>
        <v>0.32498839598668683</v>
      </c>
      <c r="X30" s="3">
        <v>41701</v>
      </c>
      <c r="Z30">
        <v>5804.65</v>
      </c>
      <c r="AB30">
        <v>5804.65</v>
      </c>
      <c r="AE30">
        <v>5804.65</v>
      </c>
      <c r="AG30">
        <v>47909.67</v>
      </c>
      <c r="AI30">
        <v>47909.67</v>
      </c>
      <c r="AK30">
        <v>17626.22</v>
      </c>
      <c r="AM30">
        <v>17626.22</v>
      </c>
      <c r="AO30">
        <v>6674.93</v>
      </c>
      <c r="AQ30">
        <v>6674.93</v>
      </c>
      <c r="AS30">
        <v>140.22</v>
      </c>
      <c r="AT30">
        <v>140.22</v>
      </c>
      <c r="AV30">
        <v>3386.99</v>
      </c>
      <c r="AX30">
        <v>3386.99</v>
      </c>
      <c r="AY30">
        <v>75738.030000000013</v>
      </c>
      <c r="BA30">
        <v>4782.99</v>
      </c>
      <c r="BC30">
        <v>4782.99</v>
      </c>
      <c r="BF30">
        <v>4782.99</v>
      </c>
      <c r="BT30">
        <v>112202.56</v>
      </c>
      <c r="BU30" s="1"/>
      <c r="BV30" s="1"/>
    </row>
    <row r="31" spans="4:74">
      <c r="D31" s="3">
        <v>41708</v>
      </c>
      <c r="E31" s="11">
        <f t="shared" si="3"/>
        <v>118512.84</v>
      </c>
      <c r="F31" s="4">
        <f t="shared" si="4"/>
        <v>79643.38</v>
      </c>
      <c r="G31" s="4">
        <f t="shared" si="5"/>
        <v>0.67202321706238755</v>
      </c>
      <c r="H31" s="4">
        <f t="shared" si="0"/>
        <v>0</v>
      </c>
      <c r="I31" s="4">
        <f t="shared" si="1"/>
        <v>0</v>
      </c>
      <c r="J31" s="4">
        <f t="shared" si="6"/>
        <v>0</v>
      </c>
      <c r="K31" s="4">
        <f t="shared" si="7"/>
        <v>0</v>
      </c>
      <c r="L31" s="4">
        <f t="shared" si="8"/>
        <v>0</v>
      </c>
      <c r="M31" s="4">
        <f t="shared" si="9"/>
        <v>0</v>
      </c>
      <c r="N31" s="4">
        <f t="shared" si="10"/>
        <v>0</v>
      </c>
      <c r="O31" s="4">
        <f t="shared" si="11"/>
        <v>0</v>
      </c>
      <c r="P31" s="4">
        <f t="shared" si="12"/>
        <v>79643.38</v>
      </c>
      <c r="Q31" s="4">
        <f t="shared" si="2"/>
        <v>0.67202321706238755</v>
      </c>
      <c r="R31" s="4">
        <v>25</v>
      </c>
      <c r="S31" s="4">
        <f t="shared" si="15"/>
        <v>77941.095097979996</v>
      </c>
      <c r="T31" s="4">
        <f t="shared" si="16"/>
        <v>0.65765949999999995</v>
      </c>
      <c r="U31" s="11">
        <f t="shared" si="13"/>
        <v>38869.459999999992</v>
      </c>
      <c r="V31" s="11">
        <f t="shared" si="14"/>
        <v>0.32797678293761245</v>
      </c>
      <c r="X31" s="3">
        <v>41708</v>
      </c>
      <c r="Z31">
        <v>6254.03</v>
      </c>
      <c r="AB31">
        <v>6254.03</v>
      </c>
      <c r="AE31">
        <v>6254.03</v>
      </c>
      <c r="AG31">
        <v>50944.89</v>
      </c>
      <c r="AI31">
        <v>50944.89</v>
      </c>
      <c r="AK31">
        <v>18108.75</v>
      </c>
      <c r="AM31">
        <v>18108.75</v>
      </c>
      <c r="AO31">
        <v>7008.23</v>
      </c>
      <c r="AQ31">
        <v>7008.23</v>
      </c>
      <c r="AS31">
        <v>127.32</v>
      </c>
      <c r="AT31">
        <v>127.32</v>
      </c>
      <c r="AV31">
        <v>3454.19</v>
      </c>
      <c r="AX31">
        <v>3454.19</v>
      </c>
      <c r="AY31">
        <v>79643.38</v>
      </c>
      <c r="BA31">
        <v>5257.57</v>
      </c>
      <c r="BC31">
        <v>5257.57</v>
      </c>
      <c r="BF31">
        <v>5257.57</v>
      </c>
      <c r="BT31">
        <v>118512.84</v>
      </c>
      <c r="BU31" s="1"/>
      <c r="BV31" s="1"/>
    </row>
    <row r="32" spans="4:74">
      <c r="D32" s="3">
        <v>41715</v>
      </c>
      <c r="E32" s="11">
        <f t="shared" si="3"/>
        <v>115354.34999999999</v>
      </c>
      <c r="F32" s="4">
        <f t="shared" si="4"/>
        <v>77439.75</v>
      </c>
      <c r="G32" s="4">
        <f t="shared" si="5"/>
        <v>0.6713205873900725</v>
      </c>
      <c r="H32" s="4">
        <f t="shared" si="0"/>
        <v>0</v>
      </c>
      <c r="I32" s="4">
        <f t="shared" si="1"/>
        <v>0</v>
      </c>
      <c r="J32" s="4">
        <f t="shared" si="6"/>
        <v>0</v>
      </c>
      <c r="K32" s="4">
        <f t="shared" si="7"/>
        <v>0</v>
      </c>
      <c r="L32" s="4">
        <f t="shared" si="8"/>
        <v>0</v>
      </c>
      <c r="M32" s="4">
        <f t="shared" si="9"/>
        <v>0</v>
      </c>
      <c r="N32" s="4">
        <f t="shared" si="10"/>
        <v>0</v>
      </c>
      <c r="O32" s="4">
        <f t="shared" si="11"/>
        <v>0</v>
      </c>
      <c r="P32" s="4">
        <f t="shared" si="12"/>
        <v>77439.75</v>
      </c>
      <c r="Q32" s="4">
        <f t="shared" si="2"/>
        <v>0.6713205873900725</v>
      </c>
      <c r="R32" s="4">
        <v>26</v>
      </c>
      <c r="S32" s="4">
        <f t="shared" si="15"/>
        <v>75919.574916917991</v>
      </c>
      <c r="T32" s="4">
        <f t="shared" si="16"/>
        <v>0.65814227999999997</v>
      </c>
      <c r="U32" s="11">
        <f t="shared" si="13"/>
        <v>37914.599999999991</v>
      </c>
      <c r="V32" s="11">
        <f t="shared" si="14"/>
        <v>0.32867941260992756</v>
      </c>
      <c r="X32" s="3">
        <v>41715</v>
      </c>
      <c r="Z32">
        <v>6067.76</v>
      </c>
      <c r="AB32">
        <v>6067.76</v>
      </c>
      <c r="AE32">
        <v>6067.76</v>
      </c>
      <c r="AG32">
        <v>49746.94</v>
      </c>
      <c r="AI32">
        <v>49746.94</v>
      </c>
      <c r="AK32">
        <v>17484.55</v>
      </c>
      <c r="AM32">
        <v>17484.55</v>
      </c>
      <c r="AO32">
        <v>6696.72</v>
      </c>
      <c r="AQ32">
        <v>6696.72</v>
      </c>
      <c r="AS32">
        <v>153.59</v>
      </c>
      <c r="AT32">
        <v>153.59</v>
      </c>
      <c r="AV32">
        <v>3357.95</v>
      </c>
      <c r="AX32">
        <v>3357.95</v>
      </c>
      <c r="AY32">
        <v>77439.75</v>
      </c>
      <c r="BA32">
        <v>5124.58</v>
      </c>
      <c r="BC32">
        <v>5124.58</v>
      </c>
      <c r="BF32">
        <v>5124.58</v>
      </c>
      <c r="BT32">
        <v>115354.34999999999</v>
      </c>
      <c r="BU32" s="1"/>
      <c r="BV32" s="1"/>
    </row>
    <row r="33" spans="4:74">
      <c r="D33" s="3">
        <v>41722</v>
      </c>
      <c r="E33" s="11">
        <f t="shared" si="3"/>
        <v>110778.79</v>
      </c>
      <c r="F33" s="4">
        <f t="shared" si="4"/>
        <v>73587.5</v>
      </c>
      <c r="G33" s="4">
        <f t="shared" si="5"/>
        <v>0.66427427127521432</v>
      </c>
      <c r="H33" s="4">
        <f t="shared" si="0"/>
        <v>0</v>
      </c>
      <c r="I33" s="4">
        <f t="shared" si="1"/>
        <v>0</v>
      </c>
      <c r="J33" s="4">
        <f t="shared" si="6"/>
        <v>0</v>
      </c>
      <c r="K33" s="4">
        <f t="shared" si="7"/>
        <v>0</v>
      </c>
      <c r="L33" s="4">
        <f t="shared" si="8"/>
        <v>0</v>
      </c>
      <c r="M33" s="4">
        <f t="shared" si="9"/>
        <v>0</v>
      </c>
      <c r="N33" s="4">
        <f t="shared" si="10"/>
        <v>0</v>
      </c>
      <c r="O33" s="4">
        <f t="shared" si="11"/>
        <v>0</v>
      </c>
      <c r="P33" s="4">
        <f t="shared" si="12"/>
        <v>73587.5</v>
      </c>
      <c r="Q33" s="4">
        <f t="shared" si="2"/>
        <v>0.66427427127521432</v>
      </c>
      <c r="R33" s="4">
        <v>27</v>
      </c>
      <c r="S33" s="4">
        <f t="shared" si="15"/>
        <v>72961.687210477394</v>
      </c>
      <c r="T33" s="4">
        <f t="shared" si="16"/>
        <v>0.65862505999999998</v>
      </c>
      <c r="U33" s="11">
        <f t="shared" si="13"/>
        <v>37191.289999999994</v>
      </c>
      <c r="V33" s="11">
        <f t="shared" si="14"/>
        <v>0.33572572872478562</v>
      </c>
      <c r="X33" s="3">
        <v>41722</v>
      </c>
      <c r="Z33">
        <v>5869.31</v>
      </c>
      <c r="AB33">
        <v>5869.31</v>
      </c>
      <c r="AE33">
        <v>5869.31</v>
      </c>
      <c r="AG33">
        <v>46391.92</v>
      </c>
      <c r="AI33">
        <v>46391.92</v>
      </c>
      <c r="AK33">
        <v>17544.22</v>
      </c>
      <c r="AM33">
        <v>17544.22</v>
      </c>
      <c r="AO33">
        <v>6343.77</v>
      </c>
      <c r="AQ33">
        <v>6343.77</v>
      </c>
      <c r="AS33">
        <v>124.79</v>
      </c>
      <c r="AT33">
        <v>124.79</v>
      </c>
      <c r="AV33">
        <v>3182.8</v>
      </c>
      <c r="AX33">
        <v>3182.8</v>
      </c>
      <c r="AY33">
        <v>73587.5</v>
      </c>
      <c r="BA33">
        <v>4777.58</v>
      </c>
      <c r="BC33">
        <v>4777.58</v>
      </c>
      <c r="BF33">
        <v>4777.58</v>
      </c>
      <c r="BT33">
        <v>110778.79</v>
      </c>
      <c r="BU33" s="1"/>
      <c r="BV33" s="1"/>
    </row>
    <row r="34" spans="4:74">
      <c r="D34" s="3">
        <v>41729</v>
      </c>
      <c r="E34" s="11">
        <f t="shared" si="3"/>
        <v>102051.91999999997</v>
      </c>
      <c r="F34" s="4">
        <f t="shared" si="4"/>
        <v>68435.850000000006</v>
      </c>
      <c r="G34" s="4">
        <f t="shared" si="5"/>
        <v>0.67059835816905777</v>
      </c>
      <c r="H34" s="4">
        <f t="shared" si="0"/>
        <v>0</v>
      </c>
      <c r="I34" s="4">
        <f t="shared" si="1"/>
        <v>0</v>
      </c>
      <c r="J34" s="4">
        <f t="shared" si="6"/>
        <v>0</v>
      </c>
      <c r="K34" s="4">
        <f t="shared" si="7"/>
        <v>0</v>
      </c>
      <c r="L34" s="4">
        <f t="shared" si="8"/>
        <v>0</v>
      </c>
      <c r="M34" s="4">
        <f t="shared" si="9"/>
        <v>0</v>
      </c>
      <c r="N34" s="4">
        <f t="shared" si="10"/>
        <v>0</v>
      </c>
      <c r="O34" s="4">
        <f t="shared" si="11"/>
        <v>0</v>
      </c>
      <c r="P34" s="4">
        <f t="shared" si="12"/>
        <v>68435.850000000006</v>
      </c>
      <c r="Q34" s="4">
        <f t="shared" si="2"/>
        <v>0.67059835816905777</v>
      </c>
      <c r="R34" s="4">
        <v>28</v>
      </c>
      <c r="S34" s="4">
        <f t="shared" si="15"/>
        <v>67263.220559052774</v>
      </c>
      <c r="T34" s="4">
        <f t="shared" si="16"/>
        <v>0.65910784</v>
      </c>
      <c r="U34" s="11">
        <f t="shared" si="13"/>
        <v>33616.069999999963</v>
      </c>
      <c r="V34" s="11">
        <f t="shared" si="14"/>
        <v>0.32940164183094228</v>
      </c>
      <c r="X34" s="3">
        <v>41729</v>
      </c>
      <c r="Z34">
        <v>5248.15</v>
      </c>
      <c r="AB34">
        <v>5248.15</v>
      </c>
      <c r="AE34">
        <v>5248.15</v>
      </c>
      <c r="AG34">
        <v>43052.93</v>
      </c>
      <c r="AI34">
        <v>43052.93</v>
      </c>
      <c r="AK34">
        <v>16461.57</v>
      </c>
      <c r="AM34">
        <v>16461.57</v>
      </c>
      <c r="AO34">
        <v>5846.16</v>
      </c>
      <c r="AQ34">
        <v>5846.16</v>
      </c>
      <c r="AS34">
        <v>66.959999999999994</v>
      </c>
      <c r="AT34">
        <v>66.959999999999994</v>
      </c>
      <c r="AV34">
        <v>3008.23</v>
      </c>
      <c r="AX34">
        <v>3008.23</v>
      </c>
      <c r="AY34">
        <v>68435.850000000006</v>
      </c>
      <c r="BA34">
        <v>4417.8999999999996</v>
      </c>
      <c r="BC34">
        <v>4417.8999999999996</v>
      </c>
      <c r="BF34">
        <v>4417.8999999999996</v>
      </c>
      <c r="BT34">
        <v>102051.91999999997</v>
      </c>
      <c r="BU34" s="1"/>
      <c r="BV34" s="1"/>
    </row>
    <row r="35" spans="4:74">
      <c r="D35" s="3">
        <v>41736</v>
      </c>
      <c r="E35" s="11">
        <f t="shared" si="3"/>
        <v>110970.42</v>
      </c>
      <c r="F35" s="4">
        <f t="shared" si="4"/>
        <v>74350.31</v>
      </c>
      <c r="G35" s="4">
        <f t="shared" si="5"/>
        <v>0.6700011588673811</v>
      </c>
      <c r="H35" s="4">
        <f t="shared" si="0"/>
        <v>0</v>
      </c>
      <c r="I35" s="4">
        <f t="shared" si="1"/>
        <v>0</v>
      </c>
      <c r="J35" s="4">
        <f t="shared" si="6"/>
        <v>0</v>
      </c>
      <c r="K35" s="4">
        <f t="shared" si="7"/>
        <v>0</v>
      </c>
      <c r="L35" s="4">
        <f t="shared" si="8"/>
        <v>0</v>
      </c>
      <c r="M35" s="4">
        <f t="shared" si="9"/>
        <v>0</v>
      </c>
      <c r="N35" s="4">
        <f t="shared" si="10"/>
        <v>0</v>
      </c>
      <c r="O35" s="4">
        <f t="shared" si="11"/>
        <v>0</v>
      </c>
      <c r="P35" s="4">
        <f t="shared" si="12"/>
        <v>74350.31</v>
      </c>
      <c r="Q35" s="4">
        <f t="shared" si="2"/>
        <v>0.6700011588673811</v>
      </c>
      <c r="R35" s="4">
        <v>29</v>
      </c>
      <c r="S35" s="4">
        <f t="shared" si="15"/>
        <v>73195.048129460396</v>
      </c>
      <c r="T35" s="4">
        <f t="shared" si="16"/>
        <v>0.65959062000000002</v>
      </c>
      <c r="U35" s="11">
        <f t="shared" si="13"/>
        <v>36620.11</v>
      </c>
      <c r="V35" s="11">
        <f t="shared" si="14"/>
        <v>0.32999884113261896</v>
      </c>
      <c r="X35" s="3">
        <v>41736</v>
      </c>
      <c r="Z35">
        <v>5682.99</v>
      </c>
      <c r="AB35">
        <v>5682.99</v>
      </c>
      <c r="AE35">
        <v>5682.99</v>
      </c>
      <c r="AG35">
        <v>46453.73</v>
      </c>
      <c r="AI35">
        <v>46453.73</v>
      </c>
      <c r="AK35">
        <v>18306.63</v>
      </c>
      <c r="AM35">
        <v>18306.63</v>
      </c>
      <c r="AO35">
        <v>6279.07</v>
      </c>
      <c r="AQ35">
        <v>6279.07</v>
      </c>
      <c r="AS35">
        <v>3.42</v>
      </c>
      <c r="AT35">
        <v>3.42</v>
      </c>
      <c r="AV35">
        <v>3307.46</v>
      </c>
      <c r="AX35">
        <v>3307.46</v>
      </c>
      <c r="AY35">
        <v>74350.31</v>
      </c>
      <c r="BA35">
        <v>4777.8900000000003</v>
      </c>
      <c r="BC35">
        <v>4777.8900000000003</v>
      </c>
      <c r="BF35">
        <v>4777.8900000000003</v>
      </c>
      <c r="BT35">
        <v>110970.42</v>
      </c>
      <c r="BU35" s="1"/>
      <c r="BV35" s="1"/>
    </row>
    <row r="36" spans="4:74">
      <c r="D36" s="3">
        <v>41743</v>
      </c>
      <c r="E36" s="11">
        <f t="shared" si="3"/>
        <v>113151.12000000001</v>
      </c>
      <c r="F36" s="4">
        <f t="shared" si="4"/>
        <v>75841.270000000019</v>
      </c>
      <c r="G36" s="4">
        <f t="shared" si="5"/>
        <v>0.67026530537214313</v>
      </c>
      <c r="H36" s="4">
        <f t="shared" si="0"/>
        <v>0</v>
      </c>
      <c r="I36" s="4">
        <f t="shared" si="1"/>
        <v>0</v>
      </c>
      <c r="J36" s="4">
        <f t="shared" si="6"/>
        <v>0</v>
      </c>
      <c r="K36" s="4">
        <f t="shared" si="7"/>
        <v>0</v>
      </c>
      <c r="L36" s="4">
        <f t="shared" si="8"/>
        <v>0</v>
      </c>
      <c r="M36" s="4">
        <f t="shared" si="9"/>
        <v>0</v>
      </c>
      <c r="N36" s="4">
        <f t="shared" si="10"/>
        <v>0</v>
      </c>
      <c r="O36" s="4">
        <f t="shared" si="11"/>
        <v>0</v>
      </c>
      <c r="P36" s="4">
        <f t="shared" si="12"/>
        <v>75841.270000000019</v>
      </c>
      <c r="Q36" s="4">
        <f t="shared" ref="Q36:Q67" si="17">P36/E36</f>
        <v>0.67026530537214313</v>
      </c>
      <c r="R36" s="4">
        <v>30</v>
      </c>
      <c r="S36" s="4">
        <f t="shared" si="15"/>
        <v>74688.044492208006</v>
      </c>
      <c r="T36" s="4">
        <f t="shared" si="16"/>
        <v>0.66007340000000003</v>
      </c>
      <c r="U36" s="11">
        <f t="shared" si="13"/>
        <v>37309.849999999991</v>
      </c>
      <c r="V36" s="11">
        <f t="shared" si="14"/>
        <v>0.32973469462785687</v>
      </c>
      <c r="X36" s="3">
        <v>41743</v>
      </c>
      <c r="Z36">
        <v>5784.67</v>
      </c>
      <c r="AB36">
        <v>5784.67</v>
      </c>
      <c r="AE36">
        <v>5784.67</v>
      </c>
      <c r="AG36">
        <v>47812.65</v>
      </c>
      <c r="AI36">
        <v>47812.65</v>
      </c>
      <c r="AK36">
        <v>18087.86</v>
      </c>
      <c r="AM36">
        <v>18087.86</v>
      </c>
      <c r="AO36">
        <v>6505.44</v>
      </c>
      <c r="AQ36">
        <v>6505.44</v>
      </c>
      <c r="AV36">
        <v>3435.32</v>
      </c>
      <c r="AX36">
        <v>3435.32</v>
      </c>
      <c r="AY36">
        <v>75841.270000000019</v>
      </c>
      <c r="BA36">
        <v>4737.68</v>
      </c>
      <c r="BC36">
        <v>4737.68</v>
      </c>
      <c r="BF36">
        <v>4737.68</v>
      </c>
      <c r="BT36">
        <v>113151.12000000001</v>
      </c>
      <c r="BU36" s="1"/>
      <c r="BV36" s="1"/>
    </row>
    <row r="37" spans="4:74">
      <c r="D37" s="3">
        <v>41750</v>
      </c>
      <c r="E37" s="11">
        <f t="shared" si="3"/>
        <v>116804.67</v>
      </c>
      <c r="F37" s="4">
        <f t="shared" si="4"/>
        <v>77478.05</v>
      </c>
      <c r="G37" s="4">
        <f t="shared" si="5"/>
        <v>0.66331294801825991</v>
      </c>
      <c r="H37" s="4">
        <f t="shared" si="0"/>
        <v>0</v>
      </c>
      <c r="I37" s="4">
        <f t="shared" si="1"/>
        <v>0</v>
      </c>
      <c r="J37" s="4">
        <f t="shared" si="6"/>
        <v>0</v>
      </c>
      <c r="K37" s="4">
        <f t="shared" si="7"/>
        <v>0</v>
      </c>
      <c r="L37" s="4">
        <f t="shared" si="8"/>
        <v>0</v>
      </c>
      <c r="M37" s="4">
        <f t="shared" si="9"/>
        <v>0</v>
      </c>
      <c r="N37" s="4">
        <f t="shared" si="10"/>
        <v>0</v>
      </c>
      <c r="O37" s="4">
        <f t="shared" si="11"/>
        <v>0</v>
      </c>
      <c r="P37" s="4">
        <f t="shared" si="12"/>
        <v>77478.05</v>
      </c>
      <c r="Q37" s="4">
        <f t="shared" si="17"/>
        <v>0.66331294801825991</v>
      </c>
      <c r="R37" s="4">
        <v>31</v>
      </c>
      <c r="S37" s="4">
        <f t="shared" si="15"/>
        <v>77156.046621360598</v>
      </c>
      <c r="T37" s="4">
        <f t="shared" si="16"/>
        <v>0.66055618000000005</v>
      </c>
      <c r="U37" s="11">
        <f t="shared" si="13"/>
        <v>39326.619999999995</v>
      </c>
      <c r="V37" s="11">
        <f t="shared" si="14"/>
        <v>0.33668705198174009</v>
      </c>
      <c r="X37" s="3">
        <v>41750</v>
      </c>
      <c r="Z37">
        <v>6133.96</v>
      </c>
      <c r="AB37">
        <v>6133.96</v>
      </c>
      <c r="AE37">
        <v>6133.96</v>
      </c>
      <c r="AG37">
        <v>49301.01</v>
      </c>
      <c r="AI37">
        <v>49301.01</v>
      </c>
      <c r="AK37">
        <v>18038.71</v>
      </c>
      <c r="AM37">
        <v>18038.71</v>
      </c>
      <c r="AO37">
        <v>6590.92</v>
      </c>
      <c r="AQ37">
        <v>6590.92</v>
      </c>
      <c r="AV37">
        <v>3547.41</v>
      </c>
      <c r="AX37">
        <v>3547.41</v>
      </c>
      <c r="AY37">
        <v>77478.05</v>
      </c>
      <c r="BA37">
        <v>5178.03</v>
      </c>
      <c r="BC37">
        <v>5178.03</v>
      </c>
      <c r="BF37">
        <v>5178.03</v>
      </c>
      <c r="BT37">
        <v>116804.67</v>
      </c>
      <c r="BU37" s="1"/>
      <c r="BV37" s="1"/>
    </row>
    <row r="38" spans="4:74">
      <c r="D38" s="3">
        <v>41757</v>
      </c>
      <c r="E38" s="11">
        <f t="shared" si="3"/>
        <v>128835.43999999997</v>
      </c>
      <c r="F38" s="4">
        <f t="shared" si="4"/>
        <v>88217.469999999987</v>
      </c>
      <c r="G38" s="4">
        <f t="shared" si="5"/>
        <v>0.68472983831157019</v>
      </c>
      <c r="H38" s="4">
        <f t="shared" si="0"/>
        <v>0</v>
      </c>
      <c r="I38" s="4">
        <f t="shared" si="1"/>
        <v>0</v>
      </c>
      <c r="J38" s="4">
        <f t="shared" si="6"/>
        <v>0</v>
      </c>
      <c r="K38" s="4">
        <f t="shared" si="7"/>
        <v>0</v>
      </c>
      <c r="L38" s="4">
        <f t="shared" si="8"/>
        <v>0</v>
      </c>
      <c r="M38" s="4">
        <f t="shared" si="9"/>
        <v>0</v>
      </c>
      <c r="N38" s="4">
        <f t="shared" si="10"/>
        <v>0</v>
      </c>
      <c r="O38" s="4">
        <f t="shared" si="11"/>
        <v>0</v>
      </c>
      <c r="P38" s="4">
        <f t="shared" si="12"/>
        <v>88217.469999999987</v>
      </c>
      <c r="Q38" s="4">
        <f t="shared" si="17"/>
        <v>0.68472983831157019</v>
      </c>
      <c r="R38" s="4">
        <v>32</v>
      </c>
      <c r="S38" s="4">
        <f t="shared" si="15"/>
        <v>85165.245268742379</v>
      </c>
      <c r="T38" s="4">
        <f t="shared" si="16"/>
        <v>0.66103895999999995</v>
      </c>
      <c r="U38" s="11">
        <f t="shared" si="13"/>
        <v>40617.969999999987</v>
      </c>
      <c r="V38" s="11">
        <f t="shared" si="14"/>
        <v>0.31527016168842981</v>
      </c>
      <c r="X38" s="3">
        <v>41757</v>
      </c>
      <c r="Z38">
        <v>5433.07</v>
      </c>
      <c r="AB38">
        <v>5433.07</v>
      </c>
      <c r="AE38">
        <v>5433.07</v>
      </c>
      <c r="AG38">
        <v>62789.35</v>
      </c>
      <c r="AI38">
        <v>62789.35</v>
      </c>
      <c r="AK38">
        <v>16321.4</v>
      </c>
      <c r="AM38">
        <v>16321.4</v>
      </c>
      <c r="AO38">
        <v>5904.54</v>
      </c>
      <c r="AQ38">
        <v>5904.54</v>
      </c>
      <c r="AV38">
        <v>3202.18</v>
      </c>
      <c r="AX38">
        <v>3202.18</v>
      </c>
      <c r="AY38">
        <v>88217.469999999987</v>
      </c>
      <c r="BA38">
        <v>4582.6000000000004</v>
      </c>
      <c r="BC38">
        <v>4582.6000000000004</v>
      </c>
      <c r="BF38">
        <v>4582.6000000000004</v>
      </c>
      <c r="BT38">
        <v>128835.43999999997</v>
      </c>
      <c r="BU38" s="1"/>
      <c r="BV38" s="1"/>
    </row>
    <row r="39" spans="4:74">
      <c r="D39" s="3">
        <v>41764</v>
      </c>
      <c r="E39" s="11">
        <f t="shared" si="3"/>
        <v>141717.60999999999</v>
      </c>
      <c r="F39" s="4">
        <f t="shared" si="4"/>
        <v>98049.349999999991</v>
      </c>
      <c r="G39" s="4">
        <f t="shared" si="5"/>
        <v>0.69186426443403892</v>
      </c>
      <c r="H39" s="4">
        <f t="shared" si="0"/>
        <v>0</v>
      </c>
      <c r="I39" s="4">
        <f t="shared" si="1"/>
        <v>0</v>
      </c>
      <c r="J39" s="4">
        <f t="shared" si="6"/>
        <v>0</v>
      </c>
      <c r="K39" s="4">
        <f t="shared" si="7"/>
        <v>0</v>
      </c>
      <c r="L39" s="4">
        <f t="shared" si="8"/>
        <v>0</v>
      </c>
      <c r="M39" s="4">
        <f t="shared" si="9"/>
        <v>0</v>
      </c>
      <c r="N39" s="4">
        <f t="shared" si="10"/>
        <v>0</v>
      </c>
      <c r="O39" s="4">
        <f t="shared" si="11"/>
        <v>0</v>
      </c>
      <c r="P39" s="4">
        <f t="shared" si="12"/>
        <v>98049.349999999991</v>
      </c>
      <c r="Q39" s="4">
        <f t="shared" si="17"/>
        <v>0.69186426443403892</v>
      </c>
      <c r="R39" s="4">
        <v>33</v>
      </c>
      <c r="S39" s="4">
        <f t="shared" ref="S39:S70" si="18">T39*E39</f>
        <v>93749.279955841383</v>
      </c>
      <c r="T39" s="4">
        <f t="shared" si="16"/>
        <v>0.66152173999999997</v>
      </c>
      <c r="U39" s="11">
        <f t="shared" si="13"/>
        <v>43668.259999999995</v>
      </c>
      <c r="V39" s="11">
        <f t="shared" si="14"/>
        <v>0.30813573556596108</v>
      </c>
      <c r="X39" s="3">
        <v>41764</v>
      </c>
      <c r="Z39">
        <v>5794.76</v>
      </c>
      <c r="AB39">
        <v>5794.76</v>
      </c>
      <c r="AE39">
        <v>5794.76</v>
      </c>
      <c r="AG39">
        <v>71585.61</v>
      </c>
      <c r="AI39">
        <v>71585.61</v>
      </c>
      <c r="AK39">
        <v>17022.310000000001</v>
      </c>
      <c r="AM39">
        <v>17022.310000000001</v>
      </c>
      <c r="AO39">
        <v>6166</v>
      </c>
      <c r="AQ39">
        <v>6166</v>
      </c>
      <c r="AV39">
        <v>3275.43</v>
      </c>
      <c r="AX39">
        <v>3275.43</v>
      </c>
      <c r="AY39">
        <v>98049.349999999991</v>
      </c>
      <c r="BA39">
        <v>4780.72</v>
      </c>
      <c r="BC39">
        <v>4780.72</v>
      </c>
      <c r="BF39">
        <v>4780.72</v>
      </c>
      <c r="BT39">
        <v>141717.60999999999</v>
      </c>
      <c r="BU39" s="1"/>
      <c r="BV39" s="1"/>
    </row>
    <row r="40" spans="4:74">
      <c r="D40" s="3">
        <v>41771</v>
      </c>
      <c r="E40" s="11">
        <f t="shared" si="3"/>
        <v>129540.51000000001</v>
      </c>
      <c r="F40" s="4">
        <f t="shared" si="4"/>
        <v>88553.62</v>
      </c>
      <c r="G40" s="4">
        <f t="shared" si="5"/>
        <v>0.68359789536107263</v>
      </c>
      <c r="H40" s="4">
        <f t="shared" si="0"/>
        <v>0</v>
      </c>
      <c r="I40" s="4">
        <f t="shared" si="1"/>
        <v>0</v>
      </c>
      <c r="J40" s="4">
        <f t="shared" si="6"/>
        <v>0</v>
      </c>
      <c r="K40" s="4">
        <f t="shared" si="7"/>
        <v>0</v>
      </c>
      <c r="L40" s="4">
        <f t="shared" si="8"/>
        <v>0</v>
      </c>
      <c r="M40" s="4">
        <f t="shared" si="9"/>
        <v>0</v>
      </c>
      <c r="N40" s="4">
        <f t="shared" si="10"/>
        <v>0</v>
      </c>
      <c r="O40" s="4">
        <f t="shared" si="11"/>
        <v>0</v>
      </c>
      <c r="P40" s="4">
        <f t="shared" si="12"/>
        <v>88553.62</v>
      </c>
      <c r="Q40" s="4">
        <f t="shared" si="17"/>
        <v>0.68359789536107263</v>
      </c>
      <c r="R40" s="4">
        <v>34</v>
      </c>
      <c r="S40" s="4">
        <f t="shared" si="18"/>
        <v>85756.403143105199</v>
      </c>
      <c r="T40" s="4">
        <f t="shared" si="16"/>
        <v>0.66200451999999999</v>
      </c>
      <c r="U40" s="11">
        <f t="shared" si="13"/>
        <v>40986.890000000014</v>
      </c>
      <c r="V40" s="11">
        <f t="shared" si="14"/>
        <v>0.31640210463892732</v>
      </c>
      <c r="X40" s="3">
        <v>41771</v>
      </c>
      <c r="Z40">
        <v>5918.18</v>
      </c>
      <c r="AB40">
        <v>5918.18</v>
      </c>
      <c r="AE40">
        <v>5918.18</v>
      </c>
      <c r="AG40">
        <v>60655.46</v>
      </c>
      <c r="AI40">
        <v>60655.46</v>
      </c>
      <c r="AK40">
        <v>17677.53</v>
      </c>
      <c r="AM40">
        <v>17677.53</v>
      </c>
      <c r="AO40">
        <v>6615.8</v>
      </c>
      <c r="AQ40">
        <v>6615.8</v>
      </c>
      <c r="AV40">
        <v>3604.83</v>
      </c>
      <c r="AX40">
        <v>3604.83</v>
      </c>
      <c r="AY40">
        <v>88553.62</v>
      </c>
      <c r="BA40">
        <v>4915.83</v>
      </c>
      <c r="BC40">
        <v>4915.83</v>
      </c>
      <c r="BF40">
        <v>4915.83</v>
      </c>
      <c r="BT40">
        <v>129540.51000000001</v>
      </c>
      <c r="BU40" s="1"/>
      <c r="BV40" s="1"/>
    </row>
    <row r="41" spans="4:74">
      <c r="D41" s="3">
        <v>41778</v>
      </c>
      <c r="E41" s="11">
        <f t="shared" si="3"/>
        <v>135283.72000000003</v>
      </c>
      <c r="F41" s="4">
        <f t="shared" si="4"/>
        <v>89405.530000000013</v>
      </c>
      <c r="G41" s="4">
        <f t="shared" si="5"/>
        <v>0.66087427223319994</v>
      </c>
      <c r="H41" s="4">
        <f t="shared" si="0"/>
        <v>0</v>
      </c>
      <c r="I41" s="4">
        <f t="shared" si="1"/>
        <v>0</v>
      </c>
      <c r="J41" s="4">
        <f t="shared" si="6"/>
        <v>0</v>
      </c>
      <c r="K41" s="4">
        <f t="shared" si="7"/>
        <v>0</v>
      </c>
      <c r="L41" s="4">
        <f t="shared" si="8"/>
        <v>0</v>
      </c>
      <c r="M41" s="4">
        <f t="shared" si="9"/>
        <v>0</v>
      </c>
      <c r="N41" s="4">
        <f t="shared" si="10"/>
        <v>0</v>
      </c>
      <c r="O41" s="4">
        <f t="shared" si="11"/>
        <v>0</v>
      </c>
      <c r="P41" s="4">
        <f t="shared" si="12"/>
        <v>89405.530000000013</v>
      </c>
      <c r="Q41" s="4">
        <f t="shared" si="17"/>
        <v>0.66087427223319994</v>
      </c>
      <c r="R41" s="4">
        <v>35</v>
      </c>
      <c r="S41" s="4">
        <f t="shared" si="18"/>
        <v>89623.746396756018</v>
      </c>
      <c r="T41" s="4">
        <f t="shared" si="16"/>
        <v>0.6624873</v>
      </c>
      <c r="U41" s="11">
        <f t="shared" si="13"/>
        <v>45878.190000000017</v>
      </c>
      <c r="V41" s="11">
        <f t="shared" si="14"/>
        <v>0.33912572776680006</v>
      </c>
      <c r="X41" s="3">
        <v>41778</v>
      </c>
      <c r="Z41">
        <v>6898.53</v>
      </c>
      <c r="AB41">
        <v>6898.53</v>
      </c>
      <c r="AE41">
        <v>6898.53</v>
      </c>
      <c r="AG41">
        <v>58966.19</v>
      </c>
      <c r="AI41">
        <v>58966.19</v>
      </c>
      <c r="AK41">
        <v>19302.599999999999</v>
      </c>
      <c r="AM41">
        <v>19302.599999999999</v>
      </c>
      <c r="AO41">
        <v>7208</v>
      </c>
      <c r="AQ41">
        <v>7208</v>
      </c>
      <c r="AV41">
        <v>3928.74</v>
      </c>
      <c r="AX41">
        <v>3928.74</v>
      </c>
      <c r="AY41">
        <v>89405.530000000013</v>
      </c>
      <c r="BA41">
        <v>5977.84</v>
      </c>
      <c r="BC41">
        <v>5977.84</v>
      </c>
      <c r="BF41">
        <v>5977.84</v>
      </c>
      <c r="BT41">
        <v>135283.72000000003</v>
      </c>
      <c r="BU41" s="1"/>
      <c r="BV41" s="1"/>
    </row>
    <row r="42" spans="4:74">
      <c r="D42" s="3">
        <v>41785</v>
      </c>
      <c r="E42" s="11">
        <f t="shared" si="3"/>
        <v>105566.18999999999</v>
      </c>
      <c r="F42" s="4">
        <f t="shared" si="4"/>
        <v>69731.009999999995</v>
      </c>
      <c r="G42" s="4">
        <f t="shared" si="5"/>
        <v>0.66054302045001345</v>
      </c>
      <c r="H42" s="4">
        <f t="shared" si="0"/>
        <v>0</v>
      </c>
      <c r="I42" s="4">
        <f t="shared" si="1"/>
        <v>0</v>
      </c>
      <c r="J42" s="4">
        <f t="shared" si="6"/>
        <v>0</v>
      </c>
      <c r="K42" s="4">
        <f t="shared" si="7"/>
        <v>0</v>
      </c>
      <c r="L42" s="4">
        <f t="shared" si="8"/>
        <v>0</v>
      </c>
      <c r="M42" s="4">
        <f t="shared" si="9"/>
        <v>0</v>
      </c>
      <c r="N42" s="4">
        <f t="shared" si="10"/>
        <v>0</v>
      </c>
      <c r="O42" s="4">
        <f t="shared" si="11"/>
        <v>0</v>
      </c>
      <c r="P42" s="4">
        <f t="shared" si="12"/>
        <v>69731.009999999995</v>
      </c>
      <c r="Q42" s="4">
        <f t="shared" si="17"/>
        <v>0.66054302045001345</v>
      </c>
      <c r="R42" s="4">
        <v>36</v>
      </c>
      <c r="S42" s="4">
        <f t="shared" si="18"/>
        <v>69987.225429595201</v>
      </c>
      <c r="T42" s="4">
        <f t="shared" si="16"/>
        <v>0.66297008000000002</v>
      </c>
      <c r="U42" s="11">
        <f t="shared" si="13"/>
        <v>35835.179999999993</v>
      </c>
      <c r="V42" s="11">
        <f t="shared" si="14"/>
        <v>0.33945697954998655</v>
      </c>
      <c r="X42" s="3">
        <v>41785</v>
      </c>
      <c r="Z42">
        <v>5675.42</v>
      </c>
      <c r="AB42">
        <v>5675.42</v>
      </c>
      <c r="AE42">
        <v>5675.42</v>
      </c>
      <c r="AG42">
        <v>44854.74</v>
      </c>
      <c r="AI42">
        <v>44854.74</v>
      </c>
      <c r="AK42">
        <v>15887.87</v>
      </c>
      <c r="AM42">
        <v>15887.87</v>
      </c>
      <c r="AO42">
        <v>5939.87</v>
      </c>
      <c r="AQ42">
        <v>5939.87</v>
      </c>
      <c r="AV42">
        <v>3048.53</v>
      </c>
      <c r="AX42">
        <v>3048.53</v>
      </c>
      <c r="AY42">
        <v>69731.009999999995</v>
      </c>
      <c r="BA42">
        <v>4579.18</v>
      </c>
      <c r="BC42">
        <v>4579.18</v>
      </c>
      <c r="BF42">
        <v>4579.18</v>
      </c>
      <c r="BT42">
        <v>105566.18999999999</v>
      </c>
      <c r="BU42" s="1"/>
      <c r="BV42" s="1"/>
    </row>
    <row r="43" spans="4:74">
      <c r="D43" s="3">
        <v>41792</v>
      </c>
      <c r="E43" s="11">
        <f t="shared" si="3"/>
        <v>106318.61</v>
      </c>
      <c r="F43" s="4">
        <f t="shared" si="4"/>
        <v>69015.95</v>
      </c>
      <c r="G43" s="4">
        <f t="shared" si="5"/>
        <v>0.64914270417944697</v>
      </c>
      <c r="H43" s="4">
        <f t="shared" si="0"/>
        <v>0</v>
      </c>
      <c r="I43" s="4">
        <f t="shared" si="1"/>
        <v>0</v>
      </c>
      <c r="J43" s="4">
        <f t="shared" si="6"/>
        <v>0</v>
      </c>
      <c r="K43" s="4">
        <f t="shared" si="7"/>
        <v>0</v>
      </c>
      <c r="L43" s="4">
        <f t="shared" si="8"/>
        <v>0</v>
      </c>
      <c r="M43" s="4">
        <f t="shared" si="9"/>
        <v>0</v>
      </c>
      <c r="N43" s="4">
        <f t="shared" si="10"/>
        <v>0</v>
      </c>
      <c r="O43" s="4">
        <f t="shared" si="11"/>
        <v>0</v>
      </c>
      <c r="P43" s="4">
        <f t="shared" si="12"/>
        <v>69015.95</v>
      </c>
      <c r="Q43" s="4">
        <f t="shared" si="17"/>
        <v>0.64914270417944697</v>
      </c>
      <c r="R43" s="4">
        <v>37</v>
      </c>
      <c r="S43" s="4">
        <f t="shared" si="18"/>
        <v>70537.385875724605</v>
      </c>
      <c r="T43" s="4">
        <f t="shared" si="16"/>
        <v>0.66345286000000003</v>
      </c>
      <c r="U43" s="11">
        <f t="shared" si="13"/>
        <v>37302.660000000003</v>
      </c>
      <c r="V43" s="11">
        <f t="shared" si="14"/>
        <v>0.35085729582055297</v>
      </c>
      <c r="X43" s="3">
        <v>41792</v>
      </c>
      <c r="Z43">
        <v>5819.48</v>
      </c>
      <c r="AB43">
        <v>5819.48</v>
      </c>
      <c r="AE43">
        <v>5819.48</v>
      </c>
      <c r="AG43">
        <v>43181.34</v>
      </c>
      <c r="AI43">
        <v>43181.34</v>
      </c>
      <c r="AK43">
        <v>16758.62</v>
      </c>
      <c r="AM43">
        <v>16758.62</v>
      </c>
      <c r="AO43">
        <v>5960.38</v>
      </c>
      <c r="AQ43">
        <v>5960.38</v>
      </c>
      <c r="AV43">
        <v>3115.61</v>
      </c>
      <c r="AX43">
        <v>3115.61</v>
      </c>
      <c r="AY43">
        <v>69015.95</v>
      </c>
      <c r="BA43">
        <v>4850.24</v>
      </c>
      <c r="BC43">
        <v>4850.24</v>
      </c>
      <c r="BF43">
        <v>4850.24</v>
      </c>
      <c r="BT43">
        <v>106318.61</v>
      </c>
      <c r="BU43" s="1"/>
      <c r="BV43" s="1"/>
    </row>
    <row r="44" spans="4:74">
      <c r="D44" s="3">
        <v>41799</v>
      </c>
      <c r="E44" s="11">
        <f t="shared" si="3"/>
        <v>114385.79000000001</v>
      </c>
      <c r="F44" s="4">
        <f t="shared" si="4"/>
        <v>75370.16</v>
      </c>
      <c r="G44" s="4">
        <f t="shared" si="5"/>
        <v>0.65891191554475426</v>
      </c>
      <c r="H44" s="4">
        <f t="shared" si="0"/>
        <v>0</v>
      </c>
      <c r="I44" s="4">
        <f t="shared" si="1"/>
        <v>0</v>
      </c>
      <c r="J44" s="4">
        <f t="shared" si="6"/>
        <v>0</v>
      </c>
      <c r="K44" s="4">
        <f t="shared" si="7"/>
        <v>0</v>
      </c>
      <c r="L44" s="4">
        <f t="shared" si="8"/>
        <v>0</v>
      </c>
      <c r="M44" s="4">
        <f t="shared" si="9"/>
        <v>0</v>
      </c>
      <c r="N44" s="4">
        <f t="shared" si="10"/>
        <v>0</v>
      </c>
      <c r="O44" s="4">
        <f t="shared" si="11"/>
        <v>0</v>
      </c>
      <c r="P44" s="4">
        <f t="shared" si="12"/>
        <v>75370.16</v>
      </c>
      <c r="Q44" s="4">
        <f t="shared" si="17"/>
        <v>0.65891191554475426</v>
      </c>
      <c r="R44" s="4">
        <v>38</v>
      </c>
      <c r="S44" s="4">
        <f t="shared" si="18"/>
        <v>75944.802690555618</v>
      </c>
      <c r="T44" s="4">
        <f t="shared" si="16"/>
        <v>0.66393564000000005</v>
      </c>
      <c r="U44" s="11">
        <f t="shared" si="13"/>
        <v>39015.630000000005</v>
      </c>
      <c r="V44" s="11">
        <f t="shared" si="14"/>
        <v>0.34108808445524574</v>
      </c>
      <c r="X44" s="3">
        <v>41799</v>
      </c>
      <c r="Z44">
        <v>6263.49</v>
      </c>
      <c r="AB44">
        <v>6263.49</v>
      </c>
      <c r="AE44">
        <v>6263.49</v>
      </c>
      <c r="AG44">
        <v>46971.35</v>
      </c>
      <c r="AI44">
        <v>46971.35</v>
      </c>
      <c r="AK44">
        <v>18091.939999999999</v>
      </c>
      <c r="AM44">
        <v>18091.939999999999</v>
      </c>
      <c r="AO44">
        <v>6737.38</v>
      </c>
      <c r="AQ44">
        <v>6737.38</v>
      </c>
      <c r="AV44">
        <v>3569.49</v>
      </c>
      <c r="AX44">
        <v>3569.49</v>
      </c>
      <c r="AY44">
        <v>75370.16</v>
      </c>
      <c r="BA44">
        <v>5105</v>
      </c>
      <c r="BC44">
        <v>5105</v>
      </c>
      <c r="BF44">
        <v>5105</v>
      </c>
      <c r="BT44">
        <v>114385.79000000001</v>
      </c>
      <c r="BU44" s="1"/>
      <c r="BV44" s="1"/>
    </row>
    <row r="45" spans="4:74">
      <c r="D45" s="3">
        <v>41806</v>
      </c>
      <c r="E45" s="11">
        <f t="shared" si="3"/>
        <v>116383.12000000002</v>
      </c>
      <c r="F45" s="4">
        <f t="shared" si="4"/>
        <v>76112.069999999992</v>
      </c>
      <c r="G45" s="4">
        <f t="shared" si="5"/>
        <v>0.65397860102049143</v>
      </c>
      <c r="H45" s="4">
        <f t="shared" si="0"/>
        <v>0</v>
      </c>
      <c r="I45" s="4">
        <f t="shared" si="1"/>
        <v>0</v>
      </c>
      <c r="J45" s="4">
        <f t="shared" si="6"/>
        <v>0</v>
      </c>
      <c r="K45" s="4">
        <f t="shared" si="7"/>
        <v>0</v>
      </c>
      <c r="L45" s="4">
        <f t="shared" si="8"/>
        <v>0</v>
      </c>
      <c r="M45" s="4">
        <f t="shared" si="9"/>
        <v>0</v>
      </c>
      <c r="N45" s="4">
        <f t="shared" si="10"/>
        <v>0</v>
      </c>
      <c r="O45" s="4">
        <f t="shared" si="11"/>
        <v>0</v>
      </c>
      <c r="P45" s="4">
        <f t="shared" si="12"/>
        <v>76112.069999999992</v>
      </c>
      <c r="Q45" s="4">
        <f t="shared" si="17"/>
        <v>0.65397860102049143</v>
      </c>
      <c r="R45" s="4">
        <v>39</v>
      </c>
      <c r="S45" s="4">
        <f t="shared" si="18"/>
        <v>77327.088705070404</v>
      </c>
      <c r="T45" s="4">
        <f t="shared" si="16"/>
        <v>0.66441841999999995</v>
      </c>
      <c r="U45" s="11">
        <f t="shared" si="13"/>
        <v>40271.050000000032</v>
      </c>
      <c r="V45" s="11">
        <f t="shared" si="14"/>
        <v>0.34602139897950857</v>
      </c>
      <c r="X45" s="3">
        <v>41806</v>
      </c>
      <c r="Z45">
        <v>6374.21</v>
      </c>
      <c r="AB45">
        <v>6374.21</v>
      </c>
      <c r="AE45">
        <v>6374.21</v>
      </c>
      <c r="AG45">
        <v>47886.81</v>
      </c>
      <c r="AI45">
        <v>47886.81</v>
      </c>
      <c r="AK45">
        <v>18267.330000000002</v>
      </c>
      <c r="AM45">
        <v>18267.330000000002</v>
      </c>
      <c r="AO45">
        <v>6510.07</v>
      </c>
      <c r="AQ45">
        <v>6510.07</v>
      </c>
      <c r="AV45">
        <v>3447.86</v>
      </c>
      <c r="AX45">
        <v>3447.86</v>
      </c>
      <c r="AY45">
        <v>76112.069999999992</v>
      </c>
      <c r="BA45">
        <v>5441.39</v>
      </c>
      <c r="BC45">
        <v>5441.39</v>
      </c>
      <c r="BF45">
        <v>5441.39</v>
      </c>
      <c r="BT45">
        <v>116383.12000000002</v>
      </c>
      <c r="BU45" s="1"/>
      <c r="BV45" s="1"/>
    </row>
    <row r="46" spans="4:74">
      <c r="D46" s="3">
        <v>41813</v>
      </c>
      <c r="E46" s="11">
        <f t="shared" si="3"/>
        <v>113594.65999999999</v>
      </c>
      <c r="F46" s="4">
        <f t="shared" si="4"/>
        <v>74223.680000000008</v>
      </c>
      <c r="G46" s="4">
        <f t="shared" si="5"/>
        <v>0.65340817957463859</v>
      </c>
      <c r="H46" s="4">
        <f t="shared" si="0"/>
        <v>0</v>
      </c>
      <c r="I46" s="4">
        <f t="shared" si="1"/>
        <v>0</v>
      </c>
      <c r="J46" s="4">
        <f t="shared" si="6"/>
        <v>0</v>
      </c>
      <c r="K46" s="4">
        <f t="shared" si="7"/>
        <v>0</v>
      </c>
      <c r="L46" s="4">
        <f t="shared" si="8"/>
        <v>0</v>
      </c>
      <c r="M46" s="4">
        <f t="shared" si="9"/>
        <v>0</v>
      </c>
      <c r="N46" s="4">
        <f t="shared" si="10"/>
        <v>0</v>
      </c>
      <c r="O46" s="4">
        <f t="shared" si="11"/>
        <v>0</v>
      </c>
      <c r="P46" s="4">
        <f t="shared" si="12"/>
        <v>74223.680000000008</v>
      </c>
      <c r="Q46" s="4">
        <f t="shared" si="17"/>
        <v>0.65340817957463859</v>
      </c>
      <c r="R46" s="4">
        <v>40</v>
      </c>
      <c r="S46" s="4">
        <f t="shared" si="18"/>
        <v>75529.225747591991</v>
      </c>
      <c r="T46" s="4">
        <f t="shared" si="16"/>
        <v>0.66490119999999997</v>
      </c>
      <c r="U46" s="11">
        <f t="shared" si="13"/>
        <v>39370.979999999981</v>
      </c>
      <c r="V46" s="11">
        <f t="shared" si="14"/>
        <v>0.34659182042536141</v>
      </c>
      <c r="X46" s="3">
        <v>41813</v>
      </c>
      <c r="Z46">
        <v>6268.63</v>
      </c>
      <c r="AB46">
        <v>6268.63</v>
      </c>
      <c r="AE46">
        <v>6268.63</v>
      </c>
      <c r="AG46">
        <v>46290.38</v>
      </c>
      <c r="AI46">
        <v>46290.38</v>
      </c>
      <c r="AK46">
        <v>18061.7</v>
      </c>
      <c r="AM46">
        <v>18061.7</v>
      </c>
      <c r="AO46">
        <v>6441.55</v>
      </c>
      <c r="AQ46">
        <v>6441.55</v>
      </c>
      <c r="AV46">
        <v>3430.05</v>
      </c>
      <c r="AX46">
        <v>3430.05</v>
      </c>
      <c r="AY46">
        <v>74223.680000000008</v>
      </c>
      <c r="BA46">
        <v>5313.59</v>
      </c>
      <c r="BC46">
        <v>5313.59</v>
      </c>
      <c r="BF46">
        <v>5313.59</v>
      </c>
      <c r="BT46">
        <v>113594.65999999999</v>
      </c>
      <c r="BU46" s="1"/>
      <c r="BV46" s="1"/>
    </row>
    <row r="47" spans="4:74">
      <c r="D47" s="3">
        <v>41820</v>
      </c>
      <c r="E47" s="11">
        <f t="shared" si="3"/>
        <v>106458.41</v>
      </c>
      <c r="F47" s="4">
        <f t="shared" si="4"/>
        <v>69143.56</v>
      </c>
      <c r="G47" s="4">
        <f t="shared" si="5"/>
        <v>0.64948894126823797</v>
      </c>
      <c r="H47" s="4">
        <f t="shared" si="0"/>
        <v>0</v>
      </c>
      <c r="I47" s="4">
        <f t="shared" si="1"/>
        <v>0</v>
      </c>
      <c r="J47" s="4">
        <f t="shared" si="6"/>
        <v>0</v>
      </c>
      <c r="K47" s="4">
        <f t="shared" si="7"/>
        <v>0</v>
      </c>
      <c r="L47" s="4">
        <f t="shared" si="8"/>
        <v>0</v>
      </c>
      <c r="M47" s="4">
        <f t="shared" si="9"/>
        <v>0</v>
      </c>
      <c r="N47" s="4">
        <f t="shared" si="10"/>
        <v>0</v>
      </c>
      <c r="O47" s="4">
        <f t="shared" si="11"/>
        <v>0</v>
      </c>
      <c r="P47" s="4">
        <f t="shared" si="12"/>
        <v>69143.56</v>
      </c>
      <c r="Q47" s="4">
        <f t="shared" si="17"/>
        <v>0.64948894126823797</v>
      </c>
      <c r="R47" s="4">
        <v>41</v>
      </c>
      <c r="S47" s="4">
        <f t="shared" si="18"/>
        <v>70835.720550271799</v>
      </c>
      <c r="T47" s="4">
        <f t="shared" si="16"/>
        <v>0.66538397999999999</v>
      </c>
      <c r="U47" s="11">
        <f t="shared" si="13"/>
        <v>37314.850000000006</v>
      </c>
      <c r="V47" s="11">
        <f t="shared" si="14"/>
        <v>0.35051105873176203</v>
      </c>
      <c r="X47" s="3">
        <v>41820</v>
      </c>
      <c r="Z47">
        <v>5737.21</v>
      </c>
      <c r="AB47">
        <v>5737.21</v>
      </c>
      <c r="AE47">
        <v>5737.21</v>
      </c>
      <c r="AG47">
        <v>42955.72</v>
      </c>
      <c r="AI47">
        <v>42955.72</v>
      </c>
      <c r="AK47">
        <v>16853.45</v>
      </c>
      <c r="AM47">
        <v>16853.45</v>
      </c>
      <c r="AO47">
        <v>6079.63</v>
      </c>
      <c r="AQ47">
        <v>6079.63</v>
      </c>
      <c r="AV47">
        <v>3254.76</v>
      </c>
      <c r="AX47">
        <v>3254.76</v>
      </c>
      <c r="AY47">
        <v>69143.56</v>
      </c>
      <c r="BA47">
        <v>4887.59</v>
      </c>
      <c r="BC47">
        <v>4887.59</v>
      </c>
      <c r="BF47">
        <v>4887.59</v>
      </c>
      <c r="BT47">
        <v>106458.41</v>
      </c>
      <c r="BU47" s="1"/>
      <c r="BV47" s="1"/>
    </row>
    <row r="48" spans="4:74">
      <c r="D48" s="3">
        <v>41827</v>
      </c>
      <c r="E48" s="11">
        <f t="shared" si="3"/>
        <v>122474.89000000001</v>
      </c>
      <c r="F48" s="4">
        <f t="shared" si="4"/>
        <v>80695.48000000001</v>
      </c>
      <c r="G48" s="4">
        <f t="shared" si="5"/>
        <v>0.65887366790041613</v>
      </c>
      <c r="H48" s="4">
        <f t="shared" si="0"/>
        <v>0</v>
      </c>
      <c r="I48" s="4">
        <f t="shared" si="1"/>
        <v>0</v>
      </c>
      <c r="J48" s="4">
        <f t="shared" si="6"/>
        <v>0</v>
      </c>
      <c r="K48" s="4">
        <f t="shared" si="7"/>
        <v>0</v>
      </c>
      <c r="L48" s="4">
        <f t="shared" si="8"/>
        <v>0</v>
      </c>
      <c r="M48" s="4">
        <f t="shared" si="9"/>
        <v>0</v>
      </c>
      <c r="N48" s="4">
        <f t="shared" si="10"/>
        <v>0</v>
      </c>
      <c r="O48" s="4">
        <f t="shared" si="11"/>
        <v>0</v>
      </c>
      <c r="P48" s="4">
        <f t="shared" si="12"/>
        <v>80695.48000000001</v>
      </c>
      <c r="Q48" s="4">
        <f t="shared" si="17"/>
        <v>0.65887366790041613</v>
      </c>
      <c r="R48" s="4">
        <v>42</v>
      </c>
      <c r="S48" s="4">
        <f t="shared" si="18"/>
        <v>81551.958185656404</v>
      </c>
      <c r="T48" s="4">
        <f t="shared" si="16"/>
        <v>0.66586676</v>
      </c>
      <c r="U48" s="11">
        <f t="shared" si="13"/>
        <v>41779.410000000003</v>
      </c>
      <c r="V48" s="11">
        <f t="shared" si="14"/>
        <v>0.34112633209958382</v>
      </c>
      <c r="X48" s="3">
        <v>41827</v>
      </c>
      <c r="Z48">
        <v>6704.24</v>
      </c>
      <c r="AB48">
        <v>6704.24</v>
      </c>
      <c r="AE48">
        <v>6704.24</v>
      </c>
      <c r="AG48">
        <v>51337.599999999999</v>
      </c>
      <c r="AI48">
        <v>51337.599999999999</v>
      </c>
      <c r="AK48">
        <v>19040.73</v>
      </c>
      <c r="AM48">
        <v>19040.73</v>
      </c>
      <c r="AO48">
        <v>6742.1</v>
      </c>
      <c r="AQ48">
        <v>6742.1</v>
      </c>
      <c r="AV48">
        <v>3575.05</v>
      </c>
      <c r="AX48">
        <v>3575.05</v>
      </c>
      <c r="AY48">
        <v>80695.48000000001</v>
      </c>
      <c r="BA48">
        <v>5607.57</v>
      </c>
      <c r="BC48">
        <v>5607.57</v>
      </c>
      <c r="BF48">
        <v>5607.57</v>
      </c>
      <c r="BT48">
        <v>122474.89000000001</v>
      </c>
      <c r="BU48" s="1"/>
      <c r="BV48" s="1"/>
    </row>
    <row r="49" spans="4:74">
      <c r="D49" s="3">
        <v>41834</v>
      </c>
      <c r="E49" s="11">
        <f t="shared" si="3"/>
        <v>122329.55</v>
      </c>
      <c r="F49" s="4">
        <f t="shared" si="4"/>
        <v>81365.109999999986</v>
      </c>
      <c r="G49" s="4">
        <f t="shared" si="5"/>
        <v>0.66513046111916529</v>
      </c>
      <c r="H49" s="4">
        <f t="shared" si="0"/>
        <v>0</v>
      </c>
      <c r="I49" s="4">
        <f t="shared" si="1"/>
        <v>0</v>
      </c>
      <c r="J49" s="4">
        <f t="shared" si="6"/>
        <v>0</v>
      </c>
      <c r="K49" s="4">
        <f t="shared" si="7"/>
        <v>0</v>
      </c>
      <c r="L49" s="4">
        <f t="shared" si="8"/>
        <v>0</v>
      </c>
      <c r="M49" s="4">
        <f t="shared" si="9"/>
        <v>0</v>
      </c>
      <c r="N49" s="4">
        <f t="shared" si="10"/>
        <v>0</v>
      </c>
      <c r="O49" s="4">
        <f t="shared" si="11"/>
        <v>0</v>
      </c>
      <c r="P49" s="4">
        <f t="shared" si="12"/>
        <v>81365.109999999986</v>
      </c>
      <c r="Q49" s="4">
        <f t="shared" si="17"/>
        <v>0.66513046111916529</v>
      </c>
      <c r="R49" s="4">
        <v>43</v>
      </c>
      <c r="S49" s="4">
        <f t="shared" si="18"/>
        <v>81514.239370907002</v>
      </c>
      <c r="T49" s="4">
        <f t="shared" si="16"/>
        <v>0.66634954000000002</v>
      </c>
      <c r="U49" s="11">
        <f t="shared" si="13"/>
        <v>40964.440000000017</v>
      </c>
      <c r="V49" s="11">
        <f t="shared" si="14"/>
        <v>0.33486953888083471</v>
      </c>
      <c r="X49" s="3">
        <v>41834</v>
      </c>
      <c r="Z49">
        <v>6551.3</v>
      </c>
      <c r="AB49">
        <v>6551.3</v>
      </c>
      <c r="AE49">
        <v>6551.3</v>
      </c>
      <c r="AG49">
        <v>52930.61</v>
      </c>
      <c r="AI49">
        <v>52930.61</v>
      </c>
      <c r="AK49">
        <v>18584.060000000001</v>
      </c>
      <c r="AM49">
        <v>18584.060000000001</v>
      </c>
      <c r="AO49">
        <v>6381.32</v>
      </c>
      <c r="AQ49">
        <v>6381.32</v>
      </c>
      <c r="AV49">
        <v>3469.12</v>
      </c>
      <c r="AX49">
        <v>3469.12</v>
      </c>
      <c r="AY49">
        <v>81365.109999999986</v>
      </c>
      <c r="BA49">
        <v>5117.32</v>
      </c>
      <c r="BC49">
        <v>5117.32</v>
      </c>
      <c r="BF49">
        <v>5117.32</v>
      </c>
      <c r="BT49">
        <v>122329.55</v>
      </c>
      <c r="BU49" s="1"/>
      <c r="BV49" s="1"/>
    </row>
    <row r="50" spans="4:74">
      <c r="D50" s="3">
        <v>41841</v>
      </c>
      <c r="E50" s="11">
        <f t="shared" si="3"/>
        <v>120176.01</v>
      </c>
      <c r="F50" s="4">
        <f t="shared" si="4"/>
        <v>78765.7</v>
      </c>
      <c r="G50" s="4">
        <f t="shared" si="5"/>
        <v>0.65541949678642186</v>
      </c>
      <c r="H50" s="4">
        <f t="shared" si="0"/>
        <v>0</v>
      </c>
      <c r="I50" s="4">
        <f t="shared" si="1"/>
        <v>0</v>
      </c>
      <c r="J50" s="4">
        <f t="shared" si="6"/>
        <v>0</v>
      </c>
      <c r="K50" s="4">
        <f t="shared" si="7"/>
        <v>0</v>
      </c>
      <c r="L50" s="4">
        <f t="shared" si="8"/>
        <v>0</v>
      </c>
      <c r="M50" s="4">
        <f t="shared" si="9"/>
        <v>0</v>
      </c>
      <c r="N50" s="4">
        <f t="shared" si="10"/>
        <v>0</v>
      </c>
      <c r="O50" s="4">
        <f t="shared" si="11"/>
        <v>0</v>
      </c>
      <c r="P50" s="4">
        <f t="shared" si="12"/>
        <v>78765.7</v>
      </c>
      <c r="Q50" s="4">
        <f t="shared" si="17"/>
        <v>0.65541949678642186</v>
      </c>
      <c r="R50" s="4">
        <v>44</v>
      </c>
      <c r="S50" s="4">
        <f t="shared" si="18"/>
        <v>80137.247556643197</v>
      </c>
      <c r="T50" s="4">
        <f t="shared" si="16"/>
        <v>0.66683232000000003</v>
      </c>
      <c r="U50" s="11">
        <f t="shared" si="13"/>
        <v>41410.31</v>
      </c>
      <c r="V50" s="11">
        <f t="shared" si="14"/>
        <v>0.34458050321357814</v>
      </c>
      <c r="X50" s="3">
        <v>41841</v>
      </c>
      <c r="Z50">
        <v>6137.2</v>
      </c>
      <c r="AB50">
        <v>6137.2</v>
      </c>
      <c r="AE50">
        <v>6137.2</v>
      </c>
      <c r="AG50">
        <v>51310.45</v>
      </c>
      <c r="AI50">
        <v>51310.45</v>
      </c>
      <c r="AK50">
        <v>18018.91</v>
      </c>
      <c r="AM50">
        <v>18018.91</v>
      </c>
      <c r="AO50">
        <v>6115.53</v>
      </c>
      <c r="AQ50">
        <v>6115.53</v>
      </c>
      <c r="AV50">
        <v>3320.81</v>
      </c>
      <c r="AX50">
        <v>3320.81</v>
      </c>
      <c r="AY50">
        <v>78765.7</v>
      </c>
      <c r="BA50">
        <v>5401.23</v>
      </c>
      <c r="BC50">
        <v>5401.23</v>
      </c>
      <c r="BF50">
        <v>5401.23</v>
      </c>
      <c r="BT50">
        <v>120176.01</v>
      </c>
      <c r="BU50" s="1"/>
      <c r="BV50" s="1"/>
    </row>
    <row r="51" spans="4:74">
      <c r="D51" s="3">
        <v>41848</v>
      </c>
      <c r="E51" s="11">
        <f t="shared" si="3"/>
        <v>119310.54</v>
      </c>
      <c r="F51" s="4">
        <f t="shared" si="4"/>
        <v>77427.48</v>
      </c>
      <c r="G51" s="4">
        <f t="shared" si="5"/>
        <v>0.6489575858092671</v>
      </c>
      <c r="H51" s="4">
        <f t="shared" si="0"/>
        <v>0</v>
      </c>
      <c r="I51" s="4">
        <f t="shared" si="1"/>
        <v>0</v>
      </c>
      <c r="J51" s="4">
        <f t="shared" si="6"/>
        <v>0</v>
      </c>
      <c r="K51" s="4">
        <f t="shared" si="7"/>
        <v>0</v>
      </c>
      <c r="L51" s="4">
        <f t="shared" si="8"/>
        <v>0</v>
      </c>
      <c r="M51" s="4">
        <f t="shared" si="9"/>
        <v>0</v>
      </c>
      <c r="N51" s="4">
        <f t="shared" si="10"/>
        <v>0</v>
      </c>
      <c r="O51" s="4">
        <f t="shared" si="11"/>
        <v>0</v>
      </c>
      <c r="P51" s="4">
        <f t="shared" si="12"/>
        <v>77427.48</v>
      </c>
      <c r="Q51" s="4">
        <f t="shared" si="17"/>
        <v>0.6489575858092671</v>
      </c>
      <c r="R51" s="4">
        <v>45</v>
      </c>
      <c r="S51" s="4">
        <f t="shared" si="18"/>
        <v>79617.724931154007</v>
      </c>
      <c r="T51" s="4">
        <f t="shared" si="16"/>
        <v>0.66731510000000005</v>
      </c>
      <c r="U51" s="11">
        <f t="shared" si="13"/>
        <v>41883.06</v>
      </c>
      <c r="V51" s="11">
        <f t="shared" si="14"/>
        <v>0.35104241419073284</v>
      </c>
      <c r="X51" s="3">
        <v>41848</v>
      </c>
      <c r="Z51">
        <v>6430.63</v>
      </c>
      <c r="AB51">
        <v>6430.63</v>
      </c>
      <c r="AE51">
        <v>6430.63</v>
      </c>
      <c r="AG51">
        <v>50369.79</v>
      </c>
      <c r="AI51">
        <v>50369.79</v>
      </c>
      <c r="AK51">
        <v>18000.919999999998</v>
      </c>
      <c r="AM51">
        <v>18000.919999999998</v>
      </c>
      <c r="AO51">
        <v>5816.32</v>
      </c>
      <c r="AQ51">
        <v>5816.32</v>
      </c>
      <c r="AV51">
        <v>3240.45</v>
      </c>
      <c r="AX51">
        <v>3240.45</v>
      </c>
      <c r="AY51">
        <v>77427.48</v>
      </c>
      <c r="BA51">
        <v>5367.22</v>
      </c>
      <c r="BC51">
        <v>5367.22</v>
      </c>
      <c r="BF51">
        <v>5367.22</v>
      </c>
      <c r="BT51">
        <v>119310.54</v>
      </c>
      <c r="BU51" s="1"/>
      <c r="BV51" s="1"/>
    </row>
    <row r="52" spans="4:74">
      <c r="D52" s="3">
        <v>41855</v>
      </c>
      <c r="E52" s="11">
        <f t="shared" si="3"/>
        <v>118330.14000000001</v>
      </c>
      <c r="F52" s="4">
        <f t="shared" si="4"/>
        <v>77441.920000000013</v>
      </c>
      <c r="G52" s="4">
        <f t="shared" si="5"/>
        <v>0.65445642166906925</v>
      </c>
      <c r="H52" s="4">
        <f t="shared" si="0"/>
        <v>0</v>
      </c>
      <c r="I52" s="4">
        <f t="shared" si="1"/>
        <v>0</v>
      </c>
      <c r="J52" s="4">
        <f t="shared" si="6"/>
        <v>0</v>
      </c>
      <c r="K52" s="4">
        <f t="shared" si="7"/>
        <v>0</v>
      </c>
      <c r="L52" s="4">
        <f t="shared" si="8"/>
        <v>0</v>
      </c>
      <c r="M52" s="4">
        <f t="shared" si="9"/>
        <v>0</v>
      </c>
      <c r="N52" s="4">
        <f t="shared" si="10"/>
        <v>0</v>
      </c>
      <c r="O52" s="4">
        <f t="shared" si="11"/>
        <v>0</v>
      </c>
      <c r="P52" s="4">
        <f t="shared" si="12"/>
        <v>77441.920000000013</v>
      </c>
      <c r="Q52" s="4">
        <f t="shared" si="17"/>
        <v>0.65445642166906925</v>
      </c>
      <c r="R52" s="4">
        <v>46</v>
      </c>
      <c r="S52" s="4">
        <f t="shared" si="18"/>
        <v>79020.616632103207</v>
      </c>
      <c r="T52" s="4">
        <f t="shared" si="16"/>
        <v>0.66779787999999995</v>
      </c>
      <c r="U52" s="11">
        <f t="shared" si="13"/>
        <v>40888.22</v>
      </c>
      <c r="V52" s="11">
        <f t="shared" si="14"/>
        <v>0.34554357833093069</v>
      </c>
      <c r="X52" s="3">
        <v>41855</v>
      </c>
      <c r="Z52">
        <v>6204.41</v>
      </c>
      <c r="AB52">
        <v>6204.41</v>
      </c>
      <c r="AE52">
        <v>6204.41</v>
      </c>
      <c r="AG52">
        <v>49940.08</v>
      </c>
      <c r="AI52">
        <v>49940.08</v>
      </c>
      <c r="AK52">
        <v>18058.93</v>
      </c>
      <c r="AM52">
        <v>18058.93</v>
      </c>
      <c r="AO52">
        <v>6058.05</v>
      </c>
      <c r="AQ52">
        <v>6058.05</v>
      </c>
      <c r="AV52">
        <v>3384.86</v>
      </c>
      <c r="AX52">
        <v>3384.86</v>
      </c>
      <c r="AY52">
        <v>77441.920000000013</v>
      </c>
      <c r="BA52">
        <v>5319.49</v>
      </c>
      <c r="BC52">
        <v>5319.49</v>
      </c>
      <c r="BF52">
        <v>5319.49</v>
      </c>
      <c r="BT52">
        <v>118330.14000000001</v>
      </c>
      <c r="BU52" s="1"/>
      <c r="BV52" s="1"/>
    </row>
    <row r="53" spans="4:74">
      <c r="D53" s="3">
        <v>41862</v>
      </c>
      <c r="E53" s="11">
        <f t="shared" si="3"/>
        <v>123969.59000000001</v>
      </c>
      <c r="F53" s="4">
        <f t="shared" si="4"/>
        <v>82560.650000000009</v>
      </c>
      <c r="G53" s="4">
        <f t="shared" si="5"/>
        <v>0.66597501855092045</v>
      </c>
      <c r="H53" s="4">
        <f t="shared" si="0"/>
        <v>0</v>
      </c>
      <c r="I53" s="4">
        <f t="shared" si="1"/>
        <v>0</v>
      </c>
      <c r="J53" s="4">
        <f t="shared" si="6"/>
        <v>0</v>
      </c>
      <c r="K53" s="4">
        <f t="shared" si="7"/>
        <v>0</v>
      </c>
      <c r="L53" s="4">
        <f t="shared" si="8"/>
        <v>0</v>
      </c>
      <c r="M53" s="4">
        <f t="shared" si="9"/>
        <v>0</v>
      </c>
      <c r="N53" s="4">
        <f t="shared" si="10"/>
        <v>0</v>
      </c>
      <c r="O53" s="4">
        <f t="shared" si="11"/>
        <v>0</v>
      </c>
      <c r="P53" s="4">
        <f t="shared" si="12"/>
        <v>82560.650000000009</v>
      </c>
      <c r="Q53" s="4">
        <f t="shared" si="17"/>
        <v>0.66597501855092045</v>
      </c>
      <c r="R53" s="4">
        <v>47</v>
      </c>
      <c r="S53" s="4">
        <f t="shared" si="18"/>
        <v>82846.479425129408</v>
      </c>
      <c r="T53" s="4">
        <f t="shared" si="16"/>
        <v>0.66828065999999997</v>
      </c>
      <c r="U53" s="11">
        <f t="shared" si="13"/>
        <v>41408.94</v>
      </c>
      <c r="V53" s="11">
        <f t="shared" si="14"/>
        <v>0.33402498144907955</v>
      </c>
      <c r="X53" s="3">
        <v>41862</v>
      </c>
      <c r="Z53">
        <v>6607.17</v>
      </c>
      <c r="AB53">
        <v>6607.17</v>
      </c>
      <c r="AE53">
        <v>6607.17</v>
      </c>
      <c r="AG53">
        <v>54397.42</v>
      </c>
      <c r="AI53">
        <v>54397.42</v>
      </c>
      <c r="AK53">
        <v>18242.689999999999</v>
      </c>
      <c r="AM53">
        <v>18242.689999999999</v>
      </c>
      <c r="AO53">
        <v>6382.38</v>
      </c>
      <c r="AQ53">
        <v>6382.38</v>
      </c>
      <c r="AV53">
        <v>3538.16</v>
      </c>
      <c r="AX53">
        <v>3538.16</v>
      </c>
      <c r="AY53">
        <v>82560.650000000009</v>
      </c>
      <c r="BA53">
        <v>5490.56</v>
      </c>
      <c r="BC53">
        <v>5490.56</v>
      </c>
      <c r="BF53">
        <v>5490.56</v>
      </c>
      <c r="BT53">
        <v>123969.59000000001</v>
      </c>
      <c r="BU53" s="1"/>
      <c r="BV53" s="1"/>
    </row>
    <row r="54" spans="4:74">
      <c r="D54" s="3">
        <v>41869</v>
      </c>
      <c r="E54" s="11">
        <f t="shared" si="3"/>
        <v>123020.95999999998</v>
      </c>
      <c r="F54" s="4">
        <f t="shared" si="4"/>
        <v>81238.080000000002</v>
      </c>
      <c r="G54" s="4">
        <f t="shared" si="5"/>
        <v>0.66035966553992109</v>
      </c>
      <c r="H54" s="4">
        <f t="shared" si="0"/>
        <v>0</v>
      </c>
      <c r="I54" s="4">
        <f t="shared" si="1"/>
        <v>0</v>
      </c>
      <c r="J54" s="4">
        <f t="shared" si="6"/>
        <v>0</v>
      </c>
      <c r="K54" s="4">
        <f t="shared" si="7"/>
        <v>0</v>
      </c>
      <c r="L54" s="4">
        <f t="shared" si="8"/>
        <v>0</v>
      </c>
      <c r="M54" s="4">
        <f t="shared" si="9"/>
        <v>0</v>
      </c>
      <c r="N54" s="4">
        <f t="shared" si="10"/>
        <v>0</v>
      </c>
      <c r="O54" s="4">
        <f t="shared" si="11"/>
        <v>0</v>
      </c>
      <c r="P54" s="4">
        <f t="shared" si="12"/>
        <v>81238.080000000002</v>
      </c>
      <c r="Q54" s="4">
        <f t="shared" si="17"/>
        <v>0.66035966553992109</v>
      </c>
      <c r="R54" s="4">
        <v>48</v>
      </c>
      <c r="S54" s="4">
        <f t="shared" si="18"/>
        <v>82271.920401702388</v>
      </c>
      <c r="T54" s="4">
        <f t="shared" si="16"/>
        <v>0.66876343999999999</v>
      </c>
      <c r="U54" s="11">
        <f t="shared" si="13"/>
        <v>41782.879999999976</v>
      </c>
      <c r="V54" s="11">
        <f t="shared" si="14"/>
        <v>0.33964033446007885</v>
      </c>
      <c r="X54" s="3">
        <v>41869</v>
      </c>
      <c r="Z54">
        <v>6697.16</v>
      </c>
      <c r="AB54">
        <v>6697.16</v>
      </c>
      <c r="AE54">
        <v>6697.16</v>
      </c>
      <c r="AG54">
        <v>52846.35</v>
      </c>
      <c r="AI54">
        <v>52846.35</v>
      </c>
      <c r="AK54">
        <v>18468.78</v>
      </c>
      <c r="AM54">
        <v>18468.78</v>
      </c>
      <c r="AO54">
        <v>6448.5</v>
      </c>
      <c r="AQ54">
        <v>6448.5</v>
      </c>
      <c r="AV54">
        <v>3474.45</v>
      </c>
      <c r="AX54">
        <v>3474.45</v>
      </c>
      <c r="AY54">
        <v>81238.080000000002</v>
      </c>
      <c r="BA54">
        <v>5376.18</v>
      </c>
      <c r="BC54">
        <v>5376.18</v>
      </c>
      <c r="BF54">
        <v>5376.18</v>
      </c>
      <c r="BT54">
        <v>123020.95999999998</v>
      </c>
      <c r="BU54" s="1"/>
      <c r="BV54" s="1"/>
    </row>
    <row r="55" spans="4:74">
      <c r="D55" s="3">
        <v>41876</v>
      </c>
      <c r="E55" s="11">
        <f t="shared" si="3"/>
        <v>151681.57</v>
      </c>
      <c r="F55" s="4">
        <f t="shared" si="4"/>
        <v>99666.05</v>
      </c>
      <c r="G55" s="4">
        <f t="shared" si="5"/>
        <v>0.65707422464047538</v>
      </c>
      <c r="H55" s="4">
        <f t="shared" si="0"/>
        <v>0</v>
      </c>
      <c r="I55" s="4">
        <f t="shared" si="1"/>
        <v>0</v>
      </c>
      <c r="J55" s="4">
        <f t="shared" si="6"/>
        <v>0</v>
      </c>
      <c r="K55" s="4">
        <f t="shared" si="7"/>
        <v>0</v>
      </c>
      <c r="L55" s="4">
        <f t="shared" si="8"/>
        <v>0</v>
      </c>
      <c r="M55" s="4">
        <f t="shared" si="9"/>
        <v>0</v>
      </c>
      <c r="N55" s="4">
        <f t="shared" si="10"/>
        <v>0</v>
      </c>
      <c r="O55" s="4">
        <f t="shared" si="11"/>
        <v>0</v>
      </c>
      <c r="P55" s="4">
        <f t="shared" si="12"/>
        <v>99666.05</v>
      </c>
      <c r="Q55" s="4">
        <f t="shared" si="17"/>
        <v>0.65707422464047538</v>
      </c>
      <c r="R55" s="4">
        <v>49</v>
      </c>
      <c r="S55" s="4">
        <f t="shared" si="18"/>
        <v>101512.3173661654</v>
      </c>
      <c r="T55" s="4">
        <f t="shared" si="16"/>
        <v>0.66924622</v>
      </c>
      <c r="U55" s="11">
        <f t="shared" si="13"/>
        <v>52015.520000000004</v>
      </c>
      <c r="V55" s="11">
        <f t="shared" si="14"/>
        <v>0.34292577535952457</v>
      </c>
      <c r="X55" s="3">
        <v>41876</v>
      </c>
      <c r="Z55">
        <v>8398.64</v>
      </c>
      <c r="AB55">
        <v>8398.64</v>
      </c>
      <c r="AE55">
        <v>8398.64</v>
      </c>
      <c r="AG55">
        <v>70602.820000000007</v>
      </c>
      <c r="AI55">
        <v>70602.820000000007</v>
      </c>
      <c r="AK55">
        <v>18908.73</v>
      </c>
      <c r="AM55">
        <v>18908.73</v>
      </c>
      <c r="AO55">
        <v>6794.47</v>
      </c>
      <c r="AQ55">
        <v>6794.47</v>
      </c>
      <c r="AV55">
        <v>3360.03</v>
      </c>
      <c r="AX55">
        <v>3360.03</v>
      </c>
      <c r="AY55">
        <v>99666.05</v>
      </c>
      <c r="BA55">
        <v>7069.44</v>
      </c>
      <c r="BC55">
        <v>7069.44</v>
      </c>
      <c r="BF55">
        <v>7069.44</v>
      </c>
      <c r="BT55">
        <v>151681.57</v>
      </c>
      <c r="BU55" s="1"/>
      <c r="BV55" s="1"/>
    </row>
    <row r="56" spans="4:74">
      <c r="D56" s="3">
        <v>41883</v>
      </c>
      <c r="E56" s="11">
        <f t="shared" si="3"/>
        <v>124268.11000000002</v>
      </c>
      <c r="F56" s="4">
        <f t="shared" si="4"/>
        <v>81528.14</v>
      </c>
      <c r="G56" s="4">
        <f t="shared" si="5"/>
        <v>0.65606646789751599</v>
      </c>
      <c r="H56" s="4">
        <f t="shared" si="0"/>
        <v>0</v>
      </c>
      <c r="I56" s="4">
        <f t="shared" si="1"/>
        <v>0</v>
      </c>
      <c r="J56" s="4">
        <f t="shared" si="6"/>
        <v>0</v>
      </c>
      <c r="K56" s="4">
        <f t="shared" si="7"/>
        <v>0</v>
      </c>
      <c r="L56" s="4">
        <f t="shared" si="8"/>
        <v>0</v>
      </c>
      <c r="M56" s="4">
        <f t="shared" si="9"/>
        <v>0</v>
      </c>
      <c r="N56" s="4">
        <f t="shared" si="10"/>
        <v>0</v>
      </c>
      <c r="O56" s="4">
        <f t="shared" si="11"/>
        <v>0</v>
      </c>
      <c r="P56" s="4">
        <f t="shared" si="12"/>
        <v>81528.14</v>
      </c>
      <c r="Q56" s="4">
        <f t="shared" si="17"/>
        <v>0.65606646789751599</v>
      </c>
      <c r="R56" s="4">
        <v>50</v>
      </c>
      <c r="S56" s="4">
        <f t="shared" si="18"/>
        <v>83225.957042190013</v>
      </c>
      <c r="T56" s="4">
        <f t="shared" si="16"/>
        <v>0.66972900000000002</v>
      </c>
      <c r="U56" s="11">
        <f t="shared" si="13"/>
        <v>42739.970000000016</v>
      </c>
      <c r="V56" s="11">
        <f t="shared" si="14"/>
        <v>0.34393353210248401</v>
      </c>
      <c r="X56" s="3">
        <v>41883</v>
      </c>
      <c r="Z56">
        <v>7194.76</v>
      </c>
      <c r="AB56">
        <v>7194.76</v>
      </c>
      <c r="AE56">
        <v>7194.76</v>
      </c>
      <c r="AG56">
        <v>57666.22</v>
      </c>
      <c r="AI56">
        <v>57666.22</v>
      </c>
      <c r="AK56">
        <v>15267.74</v>
      </c>
      <c r="AM56">
        <v>15267.74</v>
      </c>
      <c r="AO56">
        <v>5564.54</v>
      </c>
      <c r="AQ56">
        <v>5564.54</v>
      </c>
      <c r="AV56">
        <v>3029.64</v>
      </c>
      <c r="AX56">
        <v>3029.64</v>
      </c>
      <c r="AY56">
        <v>81528.14</v>
      </c>
      <c r="BA56">
        <v>6122.97</v>
      </c>
      <c r="BC56">
        <v>6122.97</v>
      </c>
      <c r="BF56">
        <v>6122.97</v>
      </c>
      <c r="BT56">
        <v>124268.11000000002</v>
      </c>
      <c r="BU56" s="1"/>
      <c r="BV56" s="1"/>
    </row>
    <row r="57" spans="4:74">
      <c r="D57" s="3">
        <v>41890</v>
      </c>
      <c r="E57" s="11">
        <f t="shared" si="3"/>
        <v>115880.13</v>
      </c>
      <c r="F57" s="4">
        <f t="shared" si="4"/>
        <v>77324.229999999981</v>
      </c>
      <c r="G57" s="4">
        <f t="shared" si="5"/>
        <v>0.66727772914994121</v>
      </c>
      <c r="H57" s="4">
        <f t="shared" si="0"/>
        <v>0</v>
      </c>
      <c r="I57" s="4">
        <f t="shared" si="1"/>
        <v>0</v>
      </c>
      <c r="J57" s="4">
        <f t="shared" si="6"/>
        <v>0</v>
      </c>
      <c r="K57" s="4">
        <f t="shared" si="7"/>
        <v>0</v>
      </c>
      <c r="L57" s="4">
        <f t="shared" si="8"/>
        <v>0</v>
      </c>
      <c r="M57" s="4">
        <f t="shared" si="9"/>
        <v>0</v>
      </c>
      <c r="N57" s="4">
        <f t="shared" si="10"/>
        <v>0</v>
      </c>
      <c r="O57" s="4">
        <f t="shared" si="11"/>
        <v>0</v>
      </c>
      <c r="P57" s="4">
        <f t="shared" si="12"/>
        <v>77324.229999999981</v>
      </c>
      <c r="Q57" s="4">
        <f t="shared" si="17"/>
        <v>0.66727772914994121</v>
      </c>
      <c r="R57" s="4">
        <v>51</v>
      </c>
      <c r="S57" s="4">
        <f t="shared" si="18"/>
        <v>77664.228193931413</v>
      </c>
      <c r="T57" s="4">
        <f t="shared" si="16"/>
        <v>0.67021178000000003</v>
      </c>
      <c r="U57" s="11">
        <f t="shared" si="13"/>
        <v>38555.900000000023</v>
      </c>
      <c r="V57" s="11">
        <f t="shared" si="14"/>
        <v>0.33272227085005879</v>
      </c>
      <c r="X57" s="3">
        <v>41890</v>
      </c>
      <c r="Z57">
        <v>6152.92</v>
      </c>
      <c r="AB57">
        <v>6152.92</v>
      </c>
      <c r="AE57">
        <v>6152.92</v>
      </c>
      <c r="AG57">
        <v>50561.11</v>
      </c>
      <c r="AI57">
        <v>50561.11</v>
      </c>
      <c r="AK57">
        <v>17336.07</v>
      </c>
      <c r="AM57">
        <v>17336.07</v>
      </c>
      <c r="AO57">
        <v>6163.51</v>
      </c>
      <c r="AQ57">
        <v>6163.51</v>
      </c>
      <c r="AV57">
        <v>3263.54</v>
      </c>
      <c r="AX57">
        <v>3263.54</v>
      </c>
      <c r="AY57">
        <v>77324.229999999981</v>
      </c>
      <c r="BA57">
        <v>5030.29</v>
      </c>
      <c r="BC57">
        <v>5030.29</v>
      </c>
      <c r="BF57">
        <v>5030.29</v>
      </c>
      <c r="BT57">
        <v>115880.13</v>
      </c>
      <c r="BU57" s="1"/>
      <c r="BV57" s="1"/>
    </row>
    <row r="58" spans="4:74">
      <c r="D58" s="3">
        <v>41897</v>
      </c>
      <c r="E58" s="11">
        <f t="shared" si="3"/>
        <v>107207.6</v>
      </c>
      <c r="F58" s="4">
        <f t="shared" si="4"/>
        <v>71534.459999999992</v>
      </c>
      <c r="G58" s="4">
        <f t="shared" si="5"/>
        <v>0.66725176200194747</v>
      </c>
      <c r="H58" s="4">
        <f t="shared" si="0"/>
        <v>0</v>
      </c>
      <c r="I58" s="4">
        <f t="shared" si="1"/>
        <v>0</v>
      </c>
      <c r="J58" s="4">
        <f t="shared" si="6"/>
        <v>0</v>
      </c>
      <c r="K58" s="4">
        <f t="shared" si="7"/>
        <v>0</v>
      </c>
      <c r="L58" s="4">
        <f t="shared" si="8"/>
        <v>0</v>
      </c>
      <c r="M58" s="4">
        <f t="shared" si="9"/>
        <v>0</v>
      </c>
      <c r="N58" s="4">
        <f t="shared" si="10"/>
        <v>0</v>
      </c>
      <c r="O58" s="4">
        <f t="shared" si="11"/>
        <v>0</v>
      </c>
      <c r="P58" s="4">
        <f t="shared" si="12"/>
        <v>71534.459999999992</v>
      </c>
      <c r="Q58" s="4">
        <f t="shared" si="17"/>
        <v>0.66725176200194747</v>
      </c>
      <c r="R58" s="4">
        <v>52</v>
      </c>
      <c r="S58" s="4">
        <f t="shared" si="18"/>
        <v>71903.554110656012</v>
      </c>
      <c r="T58" s="4">
        <f t="shared" si="16"/>
        <v>0.67069456000000005</v>
      </c>
      <c r="U58" s="11">
        <f t="shared" si="13"/>
        <v>35673.140000000014</v>
      </c>
      <c r="V58" s="11">
        <f t="shared" si="14"/>
        <v>0.33274823799805248</v>
      </c>
      <c r="X58" s="3">
        <v>41897</v>
      </c>
      <c r="Z58">
        <v>5681.21</v>
      </c>
      <c r="AB58">
        <v>5681.21</v>
      </c>
      <c r="AE58">
        <v>5681.21</v>
      </c>
      <c r="AG58">
        <v>44447.06</v>
      </c>
      <c r="AI58">
        <v>44447.06</v>
      </c>
      <c r="AK58">
        <v>17479.47</v>
      </c>
      <c r="AM58">
        <v>17479.47</v>
      </c>
      <c r="AO58">
        <v>6204.25</v>
      </c>
      <c r="AQ58">
        <v>6204.25</v>
      </c>
      <c r="AV58">
        <v>3403.68</v>
      </c>
      <c r="AX58">
        <v>3403.68</v>
      </c>
      <c r="AY58">
        <v>71534.459999999992</v>
      </c>
      <c r="BA58">
        <v>4449.07</v>
      </c>
      <c r="BC58">
        <v>4449.07</v>
      </c>
      <c r="BF58">
        <v>4449.07</v>
      </c>
      <c r="BT58">
        <v>107207.6</v>
      </c>
      <c r="BU58" s="1"/>
      <c r="BV58" s="1"/>
    </row>
    <row r="59" spans="4:74">
      <c r="D59" s="3">
        <v>41904</v>
      </c>
      <c r="E59" s="11">
        <f t="shared" si="3"/>
        <v>104245.15</v>
      </c>
      <c r="F59" s="4">
        <f t="shared" si="4"/>
        <v>69265.13</v>
      </c>
      <c r="G59" s="4">
        <f t="shared" si="5"/>
        <v>0.6644446288388477</v>
      </c>
      <c r="H59" s="4">
        <f t="shared" si="0"/>
        <v>0</v>
      </c>
      <c r="I59" s="4">
        <f t="shared" si="1"/>
        <v>0</v>
      </c>
      <c r="J59" s="4">
        <f t="shared" si="6"/>
        <v>0</v>
      </c>
      <c r="K59" s="4">
        <f t="shared" si="7"/>
        <v>0</v>
      </c>
      <c r="L59" s="4">
        <f t="shared" si="8"/>
        <v>0</v>
      </c>
      <c r="M59" s="4">
        <f t="shared" si="9"/>
        <v>0</v>
      </c>
      <c r="N59" s="4">
        <f t="shared" si="10"/>
        <v>0</v>
      </c>
      <c r="O59" s="4">
        <f t="shared" si="11"/>
        <v>0</v>
      </c>
      <c r="P59" s="4">
        <f t="shared" si="12"/>
        <v>69265.13</v>
      </c>
      <c r="Q59" s="4">
        <f t="shared" si="17"/>
        <v>0.6644446288388477</v>
      </c>
      <c r="R59" s="4">
        <v>53</v>
      </c>
      <c r="S59" s="4">
        <f t="shared" si="18"/>
        <v>69966.982484900989</v>
      </c>
      <c r="T59" s="4">
        <f t="shared" si="16"/>
        <v>0.67117733999999996</v>
      </c>
      <c r="U59" s="11">
        <f t="shared" si="13"/>
        <v>34980.01999999999</v>
      </c>
      <c r="V59" s="11">
        <f t="shared" si="14"/>
        <v>0.33555537116115225</v>
      </c>
      <c r="X59" s="3">
        <v>41904</v>
      </c>
      <c r="Z59">
        <v>5357.04</v>
      </c>
      <c r="AB59">
        <v>5357.04</v>
      </c>
      <c r="AE59">
        <v>5357.04</v>
      </c>
      <c r="AG59">
        <v>42912.17</v>
      </c>
      <c r="AI59">
        <v>42912.17</v>
      </c>
      <c r="AK59">
        <v>17260.560000000001</v>
      </c>
      <c r="AM59">
        <v>17260.560000000001</v>
      </c>
      <c r="AO59">
        <v>5778.08</v>
      </c>
      <c r="AQ59">
        <v>5778.08</v>
      </c>
      <c r="AV59">
        <v>3314.32</v>
      </c>
      <c r="AX59">
        <v>3314.32</v>
      </c>
      <c r="AY59">
        <v>69265.13</v>
      </c>
      <c r="BA59">
        <v>4237.9799999999996</v>
      </c>
      <c r="BC59">
        <v>4237.9799999999996</v>
      </c>
      <c r="BF59">
        <v>4237.9799999999996</v>
      </c>
      <c r="BT59">
        <v>104245.15</v>
      </c>
      <c r="BU59" s="1"/>
      <c r="BV59" s="1"/>
    </row>
    <row r="60" spans="4:74">
      <c r="D60" s="3">
        <v>41911</v>
      </c>
      <c r="E60" s="11">
        <f t="shared" si="3"/>
        <v>101889.17000000001</v>
      </c>
      <c r="F60" s="4">
        <f t="shared" si="4"/>
        <v>67133.13</v>
      </c>
      <c r="G60" s="4">
        <f t="shared" si="5"/>
        <v>0.65888386371191365</v>
      </c>
      <c r="H60" s="4">
        <f t="shared" si="0"/>
        <v>0</v>
      </c>
      <c r="I60" s="4">
        <f t="shared" si="1"/>
        <v>0</v>
      </c>
      <c r="J60" s="4">
        <f t="shared" si="6"/>
        <v>0</v>
      </c>
      <c r="K60" s="4">
        <f t="shared" si="7"/>
        <v>0</v>
      </c>
      <c r="L60" s="4">
        <f t="shared" si="8"/>
        <v>0</v>
      </c>
      <c r="M60" s="4">
        <f t="shared" si="9"/>
        <v>0</v>
      </c>
      <c r="N60" s="4">
        <f t="shared" si="10"/>
        <v>0</v>
      </c>
      <c r="O60" s="4">
        <f t="shared" si="11"/>
        <v>0</v>
      </c>
      <c r="P60" s="4">
        <f t="shared" si="12"/>
        <v>67133.13</v>
      </c>
      <c r="Q60" s="4">
        <f t="shared" si="17"/>
        <v>0.65888386371191365</v>
      </c>
      <c r="R60" s="4">
        <v>54</v>
      </c>
      <c r="S60" s="4">
        <f t="shared" si="18"/>
        <v>68434.892148900399</v>
      </c>
      <c r="T60" s="4">
        <f t="shared" si="16"/>
        <v>0.67166011999999997</v>
      </c>
      <c r="U60" s="11">
        <f t="shared" si="13"/>
        <v>34756.040000000008</v>
      </c>
      <c r="V60" s="11">
        <f t="shared" si="14"/>
        <v>0.3411161362880864</v>
      </c>
      <c r="X60" s="3">
        <v>41911</v>
      </c>
      <c r="Z60">
        <v>5455.85</v>
      </c>
      <c r="AB60">
        <v>5455.85</v>
      </c>
      <c r="AE60">
        <v>5455.85</v>
      </c>
      <c r="AG60">
        <v>41141.800000000003</v>
      </c>
      <c r="AI60">
        <v>41141.800000000003</v>
      </c>
      <c r="AK60">
        <v>16891.63</v>
      </c>
      <c r="AM60">
        <v>16891.63</v>
      </c>
      <c r="AO60">
        <v>5792.99</v>
      </c>
      <c r="AQ60">
        <v>5792.99</v>
      </c>
      <c r="AV60">
        <v>3306.71</v>
      </c>
      <c r="AX60">
        <v>3306.71</v>
      </c>
      <c r="AY60">
        <v>67133.13</v>
      </c>
      <c r="BA60">
        <v>4340.68</v>
      </c>
      <c r="BC60">
        <v>4340.68</v>
      </c>
      <c r="BF60">
        <v>4340.68</v>
      </c>
      <c r="BT60">
        <v>101889.17000000001</v>
      </c>
      <c r="BU60" s="1"/>
      <c r="BV60" s="1"/>
    </row>
    <row r="61" spans="4:74">
      <c r="D61" s="3">
        <v>41918</v>
      </c>
      <c r="E61" s="11">
        <f t="shared" si="3"/>
        <v>109997.49000000002</v>
      </c>
      <c r="F61" s="4">
        <f t="shared" si="4"/>
        <v>73709.530000000013</v>
      </c>
      <c r="G61" s="4">
        <f t="shared" si="5"/>
        <v>0.67010192687124037</v>
      </c>
      <c r="H61" s="4">
        <f t="shared" si="0"/>
        <v>0</v>
      </c>
      <c r="I61" s="4">
        <f t="shared" si="1"/>
        <v>0</v>
      </c>
      <c r="J61" s="4">
        <f t="shared" si="6"/>
        <v>0</v>
      </c>
      <c r="K61" s="4">
        <f t="shared" si="7"/>
        <v>0</v>
      </c>
      <c r="L61" s="4">
        <f t="shared" si="8"/>
        <v>0</v>
      </c>
      <c r="M61" s="4">
        <f t="shared" si="9"/>
        <v>0</v>
      </c>
      <c r="N61" s="4">
        <f t="shared" si="10"/>
        <v>0</v>
      </c>
      <c r="O61" s="4">
        <f t="shared" si="11"/>
        <v>0</v>
      </c>
      <c r="P61" s="4">
        <f t="shared" si="12"/>
        <v>73709.530000000013</v>
      </c>
      <c r="Q61" s="4">
        <f t="shared" si="17"/>
        <v>0.67010192687124037</v>
      </c>
      <c r="R61" s="4">
        <v>55</v>
      </c>
      <c r="S61" s="4">
        <f t="shared" si="18"/>
        <v>73934.031921321017</v>
      </c>
      <c r="T61" s="4">
        <f t="shared" si="16"/>
        <v>0.67214289999999999</v>
      </c>
      <c r="U61" s="11">
        <f t="shared" si="13"/>
        <v>36287.960000000006</v>
      </c>
      <c r="V61" s="11">
        <f t="shared" si="14"/>
        <v>0.32989807312875957</v>
      </c>
      <c r="X61" s="3">
        <v>41918</v>
      </c>
      <c r="Z61">
        <v>5525.68</v>
      </c>
      <c r="AB61">
        <v>5525.68</v>
      </c>
      <c r="AE61">
        <v>5525.68</v>
      </c>
      <c r="AG61">
        <v>44518.89</v>
      </c>
      <c r="AI61">
        <v>44518.89</v>
      </c>
      <c r="AK61">
        <v>19724.490000000002</v>
      </c>
      <c r="AM61">
        <v>19724.490000000002</v>
      </c>
      <c r="AO61">
        <v>6037.6</v>
      </c>
      <c r="AQ61">
        <v>6037.6</v>
      </c>
      <c r="AV61">
        <v>3428.55</v>
      </c>
      <c r="AX61">
        <v>3428.55</v>
      </c>
      <c r="AY61">
        <v>73709.530000000013</v>
      </c>
      <c r="BA61">
        <v>4446.7700000000004</v>
      </c>
      <c r="BC61">
        <v>4446.7700000000004</v>
      </c>
      <c r="BF61">
        <v>4446.7700000000004</v>
      </c>
      <c r="BT61">
        <v>109997.49000000002</v>
      </c>
      <c r="BU61" s="1"/>
      <c r="BV61" s="1"/>
    </row>
    <row r="62" spans="4:74">
      <c r="D62" s="3">
        <v>41925</v>
      </c>
      <c r="E62" s="11">
        <f t="shared" si="3"/>
        <v>113615.56999999999</v>
      </c>
      <c r="F62" s="4">
        <f t="shared" si="4"/>
        <v>75978.98000000001</v>
      </c>
      <c r="G62" s="4">
        <f t="shared" si="5"/>
        <v>0.66873739224298234</v>
      </c>
      <c r="H62" s="4">
        <f t="shared" si="0"/>
        <v>0</v>
      </c>
      <c r="I62" s="4">
        <f t="shared" si="1"/>
        <v>0</v>
      </c>
      <c r="J62" s="4">
        <f t="shared" si="6"/>
        <v>0</v>
      </c>
      <c r="K62" s="4">
        <f t="shared" si="7"/>
        <v>0</v>
      </c>
      <c r="L62" s="4">
        <f t="shared" si="8"/>
        <v>0</v>
      </c>
      <c r="M62" s="4">
        <f t="shared" si="9"/>
        <v>0</v>
      </c>
      <c r="N62" s="4">
        <f t="shared" si="10"/>
        <v>0</v>
      </c>
      <c r="O62" s="4">
        <f t="shared" si="11"/>
        <v>0</v>
      </c>
      <c r="P62" s="4">
        <f t="shared" si="12"/>
        <v>75978.98000000001</v>
      </c>
      <c r="Q62" s="4">
        <f t="shared" si="17"/>
        <v>0.66873739224298234</v>
      </c>
      <c r="R62" s="4">
        <v>56</v>
      </c>
      <c r="S62" s="4">
        <f t="shared" si="18"/>
        <v>76420.750029837596</v>
      </c>
      <c r="T62" s="4">
        <f t="shared" si="16"/>
        <v>0.67262568</v>
      </c>
      <c r="U62" s="11">
        <f t="shared" si="13"/>
        <v>37636.589999999982</v>
      </c>
      <c r="V62" s="11">
        <f t="shared" si="14"/>
        <v>0.33126260775701766</v>
      </c>
      <c r="X62" s="3">
        <v>41925</v>
      </c>
      <c r="Z62">
        <v>5977.43</v>
      </c>
      <c r="AB62">
        <v>5977.43</v>
      </c>
      <c r="AE62">
        <v>5977.43</v>
      </c>
      <c r="AG62">
        <v>46582.79</v>
      </c>
      <c r="AI62">
        <v>46582.79</v>
      </c>
      <c r="AK62">
        <v>19458.150000000001</v>
      </c>
      <c r="AM62">
        <v>19458.150000000001</v>
      </c>
      <c r="AO62">
        <v>6325.33</v>
      </c>
      <c r="AQ62">
        <v>6325.33</v>
      </c>
      <c r="AV62">
        <v>3612.71</v>
      </c>
      <c r="AX62">
        <v>3612.71</v>
      </c>
      <c r="AY62">
        <v>75978.98000000001</v>
      </c>
      <c r="BA62">
        <v>4872.68</v>
      </c>
      <c r="BC62">
        <v>4872.68</v>
      </c>
      <c r="BF62">
        <v>4872.68</v>
      </c>
      <c r="BT62">
        <v>113615.56999999999</v>
      </c>
      <c r="BU62" s="1"/>
      <c r="BV62" s="1"/>
    </row>
    <row r="63" spans="4:74">
      <c r="D63" s="3">
        <v>41932</v>
      </c>
      <c r="E63" s="11">
        <f t="shared" si="3"/>
        <v>110900.78000000001</v>
      </c>
      <c r="F63" s="4">
        <f t="shared" si="4"/>
        <v>73265.240000000005</v>
      </c>
      <c r="G63" s="4">
        <f t="shared" si="5"/>
        <v>0.66063773401774084</v>
      </c>
      <c r="H63" s="4">
        <f t="shared" si="0"/>
        <v>0</v>
      </c>
      <c r="I63" s="4">
        <f t="shared" si="1"/>
        <v>0</v>
      </c>
      <c r="J63" s="4">
        <f t="shared" si="6"/>
        <v>0</v>
      </c>
      <c r="K63" s="4">
        <f t="shared" si="7"/>
        <v>0</v>
      </c>
      <c r="L63" s="4">
        <f t="shared" si="8"/>
        <v>0</v>
      </c>
      <c r="M63" s="4">
        <f t="shared" si="9"/>
        <v>0</v>
      </c>
      <c r="N63" s="4">
        <f t="shared" si="10"/>
        <v>0</v>
      </c>
      <c r="O63" s="4">
        <f t="shared" si="11"/>
        <v>0</v>
      </c>
      <c r="P63" s="4">
        <f t="shared" si="12"/>
        <v>73265.240000000005</v>
      </c>
      <c r="Q63" s="4">
        <f t="shared" si="17"/>
        <v>0.66063773401774084</v>
      </c>
      <c r="R63" s="4">
        <v>57</v>
      </c>
      <c r="S63" s="4">
        <f t="shared" si="18"/>
        <v>74648.253238598816</v>
      </c>
      <c r="T63" s="4">
        <f t="shared" si="16"/>
        <v>0.67310846000000002</v>
      </c>
      <c r="U63" s="11">
        <f t="shared" si="13"/>
        <v>37635.540000000008</v>
      </c>
      <c r="V63" s="11">
        <f t="shared" si="14"/>
        <v>0.3393622659822591</v>
      </c>
      <c r="X63" s="3">
        <v>41932</v>
      </c>
      <c r="Z63">
        <v>5733.83</v>
      </c>
      <c r="AB63">
        <v>5733.83</v>
      </c>
      <c r="AE63">
        <v>5733.83</v>
      </c>
      <c r="AG63">
        <v>45275.58</v>
      </c>
      <c r="AI63">
        <v>45275.58</v>
      </c>
      <c r="AK63">
        <v>18239.78</v>
      </c>
      <c r="AM63">
        <v>18239.78</v>
      </c>
      <c r="AO63">
        <v>6167.86</v>
      </c>
      <c r="AQ63">
        <v>6167.86</v>
      </c>
      <c r="AV63">
        <v>3582.02</v>
      </c>
      <c r="AX63">
        <v>3582.02</v>
      </c>
      <c r="AY63">
        <v>73265.240000000005</v>
      </c>
      <c r="BA63">
        <v>4510.05</v>
      </c>
      <c r="BC63">
        <v>4510.05</v>
      </c>
      <c r="BF63">
        <v>4510.05</v>
      </c>
      <c r="BT63">
        <v>110900.78000000001</v>
      </c>
      <c r="BU63" s="1"/>
      <c r="BV63" s="1"/>
    </row>
    <row r="64" spans="4:74">
      <c r="D64" s="3">
        <v>41939</v>
      </c>
      <c r="E64" s="11">
        <f t="shared" si="3"/>
        <v>111394.54999999997</v>
      </c>
      <c r="F64" s="4">
        <f t="shared" si="4"/>
        <v>73115.17</v>
      </c>
      <c r="G64" s="4">
        <f t="shared" si="5"/>
        <v>0.65636218288955805</v>
      </c>
      <c r="H64" s="4">
        <f t="shared" si="0"/>
        <v>0</v>
      </c>
      <c r="I64" s="4">
        <f t="shared" si="1"/>
        <v>0</v>
      </c>
      <c r="J64" s="4">
        <f t="shared" si="6"/>
        <v>0</v>
      </c>
      <c r="K64" s="4">
        <f t="shared" si="7"/>
        <v>0</v>
      </c>
      <c r="L64" s="4">
        <f t="shared" si="8"/>
        <v>0</v>
      </c>
      <c r="M64" s="4">
        <f t="shared" si="9"/>
        <v>0</v>
      </c>
      <c r="N64" s="4">
        <f t="shared" si="10"/>
        <v>0</v>
      </c>
      <c r="O64" s="4">
        <f t="shared" si="11"/>
        <v>0</v>
      </c>
      <c r="P64" s="4">
        <f t="shared" si="12"/>
        <v>73115.17</v>
      </c>
      <c r="Q64" s="4">
        <f t="shared" si="17"/>
        <v>0.65636218288955805</v>
      </c>
      <c r="R64" s="4">
        <v>58</v>
      </c>
      <c r="S64" s="4">
        <f t="shared" si="18"/>
        <v>75034.393063741983</v>
      </c>
      <c r="T64" s="4">
        <f t="shared" si="16"/>
        <v>0.67359124000000004</v>
      </c>
      <c r="U64" s="11">
        <f t="shared" si="13"/>
        <v>38279.379999999976</v>
      </c>
      <c r="V64" s="11">
        <f t="shared" si="14"/>
        <v>0.343637817110442</v>
      </c>
      <c r="X64" s="3">
        <v>41939</v>
      </c>
      <c r="Z64">
        <v>5736.31</v>
      </c>
      <c r="AB64">
        <v>5736.31</v>
      </c>
      <c r="AE64">
        <v>5736.31</v>
      </c>
      <c r="AG64">
        <v>45834.97</v>
      </c>
      <c r="AI64">
        <v>45834.97</v>
      </c>
      <c r="AK64">
        <v>17404.13</v>
      </c>
      <c r="AM64">
        <v>17404.13</v>
      </c>
      <c r="AO64">
        <v>6077.92</v>
      </c>
      <c r="AQ64">
        <v>6077.92</v>
      </c>
      <c r="AV64">
        <v>3798.15</v>
      </c>
      <c r="AX64">
        <v>3798.15</v>
      </c>
      <c r="AY64">
        <v>73115.17</v>
      </c>
      <c r="BA64">
        <v>4708.47</v>
      </c>
      <c r="BC64">
        <v>4708.47</v>
      </c>
      <c r="BF64">
        <v>4708.47</v>
      </c>
      <c r="BT64">
        <v>111394.54999999997</v>
      </c>
      <c r="BU64" s="1"/>
      <c r="BV64" s="1"/>
    </row>
    <row r="65" spans="4:74">
      <c r="D65" s="3">
        <v>41946</v>
      </c>
      <c r="E65" s="11">
        <f t="shared" si="3"/>
        <v>112334.77000000002</v>
      </c>
      <c r="F65" s="4">
        <f t="shared" si="4"/>
        <v>75078.81</v>
      </c>
      <c r="G65" s="4">
        <f t="shared" si="5"/>
        <v>0.66834881132529123</v>
      </c>
      <c r="H65" s="4">
        <f t="shared" si="0"/>
        <v>0</v>
      </c>
      <c r="I65" s="4">
        <f t="shared" si="1"/>
        <v>0</v>
      </c>
      <c r="J65" s="4">
        <f t="shared" si="6"/>
        <v>0</v>
      </c>
      <c r="K65" s="4">
        <f t="shared" si="7"/>
        <v>0</v>
      </c>
      <c r="L65" s="4">
        <f t="shared" si="8"/>
        <v>0</v>
      </c>
      <c r="M65" s="4">
        <f t="shared" si="9"/>
        <v>0</v>
      </c>
      <c r="N65" s="4">
        <f t="shared" si="10"/>
        <v>0</v>
      </c>
      <c r="O65" s="4">
        <f t="shared" si="11"/>
        <v>0</v>
      </c>
      <c r="P65" s="4">
        <f t="shared" si="12"/>
        <v>75078.81</v>
      </c>
      <c r="Q65" s="4">
        <f t="shared" si="17"/>
        <v>0.66834881132529123</v>
      </c>
      <c r="R65" s="4">
        <v>59</v>
      </c>
      <c r="S65" s="4">
        <f t="shared" si="18"/>
        <v>75721.949999675402</v>
      </c>
      <c r="T65" s="4">
        <f t="shared" si="16"/>
        <v>0.67407401999999994</v>
      </c>
      <c r="U65" s="11">
        <f t="shared" si="13"/>
        <v>37255.960000000021</v>
      </c>
      <c r="V65" s="11">
        <f t="shared" si="14"/>
        <v>0.33165118867470877</v>
      </c>
      <c r="X65" s="3">
        <v>41946</v>
      </c>
      <c r="Z65">
        <v>5810.28</v>
      </c>
      <c r="AB65">
        <v>5810.28</v>
      </c>
      <c r="AE65">
        <v>5810.28</v>
      </c>
      <c r="AG65">
        <v>47154.47</v>
      </c>
      <c r="AI65">
        <v>47154.47</v>
      </c>
      <c r="AK65">
        <v>17626.599999999999</v>
      </c>
      <c r="AM65">
        <v>17626.599999999999</v>
      </c>
      <c r="AO65">
        <v>6408.66</v>
      </c>
      <c r="AQ65">
        <v>6408.66</v>
      </c>
      <c r="AV65">
        <v>3889.08</v>
      </c>
      <c r="AX65">
        <v>3889.08</v>
      </c>
      <c r="AY65">
        <v>75078.81</v>
      </c>
      <c r="BA65">
        <v>4653.8500000000004</v>
      </c>
      <c r="BC65">
        <v>4653.8500000000004</v>
      </c>
      <c r="BF65">
        <v>4653.8500000000004</v>
      </c>
      <c r="BT65">
        <v>112334.77000000002</v>
      </c>
      <c r="BU65" s="1"/>
      <c r="BV65" s="1"/>
    </row>
    <row r="66" spans="4:74">
      <c r="D66" s="3">
        <v>41953</v>
      </c>
      <c r="E66" s="11">
        <f t="shared" si="3"/>
        <v>116802.38</v>
      </c>
      <c r="F66" s="4">
        <f t="shared" si="4"/>
        <v>78361.3</v>
      </c>
      <c r="G66" s="4">
        <f t="shared" si="5"/>
        <v>0.67088787060674615</v>
      </c>
      <c r="H66" s="4">
        <f t="shared" si="0"/>
        <v>0</v>
      </c>
      <c r="I66" s="4">
        <f t="shared" si="1"/>
        <v>0</v>
      </c>
      <c r="J66" s="4">
        <f t="shared" si="6"/>
        <v>0</v>
      </c>
      <c r="K66" s="4">
        <f t="shared" si="7"/>
        <v>0</v>
      </c>
      <c r="L66" s="4">
        <f t="shared" si="8"/>
        <v>0</v>
      </c>
      <c r="M66" s="4">
        <f t="shared" si="9"/>
        <v>0</v>
      </c>
      <c r="N66" s="4">
        <f t="shared" si="10"/>
        <v>0</v>
      </c>
      <c r="O66" s="4">
        <f t="shared" si="11"/>
        <v>0</v>
      </c>
      <c r="P66" s="4">
        <f t="shared" si="12"/>
        <v>78361.3</v>
      </c>
      <c r="Q66" s="4">
        <f t="shared" si="17"/>
        <v>0.67088787060674615</v>
      </c>
      <c r="R66" s="4">
        <v>60</v>
      </c>
      <c r="S66" s="4">
        <f t="shared" si="18"/>
        <v>78789.839685183993</v>
      </c>
      <c r="T66" s="4">
        <f t="shared" si="16"/>
        <v>0.67455679999999996</v>
      </c>
      <c r="U66" s="11">
        <f t="shared" si="13"/>
        <v>38441.08</v>
      </c>
      <c r="V66" s="11">
        <f t="shared" si="14"/>
        <v>0.32911212939325379</v>
      </c>
      <c r="X66" s="3">
        <v>41953</v>
      </c>
      <c r="Z66">
        <v>6182.5</v>
      </c>
      <c r="AB66">
        <v>6182.5</v>
      </c>
      <c r="AE66">
        <v>6182.5</v>
      </c>
      <c r="AG66">
        <v>49300.04</v>
      </c>
      <c r="AI66">
        <v>49300.04</v>
      </c>
      <c r="AK66">
        <v>18346.09</v>
      </c>
      <c r="AM66">
        <v>18346.09</v>
      </c>
      <c r="AO66">
        <v>6679.13</v>
      </c>
      <c r="AQ66">
        <v>6679.13</v>
      </c>
      <c r="AV66">
        <v>4036.04</v>
      </c>
      <c r="AX66">
        <v>4036.04</v>
      </c>
      <c r="AY66">
        <v>78361.3</v>
      </c>
      <c r="BA66">
        <v>5024.6099999999997</v>
      </c>
      <c r="BC66">
        <v>5024.6099999999997</v>
      </c>
      <c r="BF66">
        <v>5024.6099999999997</v>
      </c>
      <c r="BT66">
        <v>116802.38</v>
      </c>
      <c r="BU66" s="1"/>
      <c r="BV66" s="1"/>
    </row>
    <row r="67" spans="4:74">
      <c r="D67" s="3">
        <v>41960</v>
      </c>
      <c r="E67" s="11">
        <f t="shared" si="3"/>
        <v>123470.67</v>
      </c>
      <c r="F67" s="4">
        <f t="shared" si="4"/>
        <v>81738.399999999994</v>
      </c>
      <c r="G67" s="4">
        <f t="shared" si="5"/>
        <v>0.6620066125825671</v>
      </c>
      <c r="H67" s="4">
        <f t="shared" si="0"/>
        <v>0</v>
      </c>
      <c r="I67" s="4">
        <f t="shared" si="1"/>
        <v>0</v>
      </c>
      <c r="J67" s="4">
        <f t="shared" si="6"/>
        <v>0</v>
      </c>
      <c r="K67" s="4">
        <f t="shared" si="7"/>
        <v>0</v>
      </c>
      <c r="L67" s="4">
        <f t="shared" si="8"/>
        <v>0</v>
      </c>
      <c r="M67" s="4">
        <f t="shared" si="9"/>
        <v>0</v>
      </c>
      <c r="N67" s="4">
        <f t="shared" si="10"/>
        <v>0</v>
      </c>
      <c r="O67" s="4">
        <f t="shared" si="11"/>
        <v>0</v>
      </c>
      <c r="P67" s="4">
        <f t="shared" si="12"/>
        <v>81738.399999999994</v>
      </c>
      <c r="Q67" s="4">
        <f t="shared" si="17"/>
        <v>0.6620066125825671</v>
      </c>
      <c r="R67" s="4">
        <v>61</v>
      </c>
      <c r="S67" s="4">
        <f t="shared" si="18"/>
        <v>83347.589219118599</v>
      </c>
      <c r="T67" s="4">
        <f t="shared" si="16"/>
        <v>0.67503957999999997</v>
      </c>
      <c r="U67" s="11">
        <f t="shared" si="13"/>
        <v>41732.270000000004</v>
      </c>
      <c r="V67" s="11">
        <f t="shared" si="14"/>
        <v>0.33799338741743284</v>
      </c>
      <c r="X67" s="3">
        <v>41960</v>
      </c>
      <c r="Z67">
        <v>6491.58</v>
      </c>
      <c r="AB67">
        <v>6491.58</v>
      </c>
      <c r="AE67">
        <v>6491.58</v>
      </c>
      <c r="AG67">
        <v>52490.98</v>
      </c>
      <c r="AI67">
        <v>52490.98</v>
      </c>
      <c r="AK67">
        <v>18892.240000000002</v>
      </c>
      <c r="AM67">
        <v>18892.240000000002</v>
      </c>
      <c r="AO67">
        <v>6410.25</v>
      </c>
      <c r="AQ67">
        <v>6410.25</v>
      </c>
      <c r="AV67">
        <v>3944.93</v>
      </c>
      <c r="AX67">
        <v>3944.93</v>
      </c>
      <c r="AY67">
        <v>81738.399999999994</v>
      </c>
      <c r="BA67">
        <v>5286.84</v>
      </c>
      <c r="BC67">
        <v>5286.84</v>
      </c>
      <c r="BF67">
        <v>5286.84</v>
      </c>
      <c r="BT67">
        <v>123470.67</v>
      </c>
      <c r="BU67" s="1"/>
      <c r="BV67" s="1"/>
    </row>
    <row r="68" spans="4:74">
      <c r="D68" s="3">
        <v>41967</v>
      </c>
      <c r="E68" s="11">
        <f t="shared" si="3"/>
        <v>100864.85</v>
      </c>
      <c r="F68" s="4">
        <f t="shared" si="4"/>
        <v>68376.289999999994</v>
      </c>
      <c r="G68" s="4">
        <f t="shared" si="5"/>
        <v>0.67790008114818978</v>
      </c>
      <c r="H68" s="4">
        <f t="shared" ref="H68:H77" si="19">AB68-Z68-Y68-BU68</f>
        <v>0</v>
      </c>
      <c r="I68" s="4">
        <f t="shared" ref="I68:I77" si="20">BC68-BA68-AZ68-BV68</f>
        <v>0</v>
      </c>
      <c r="J68" s="4">
        <f t="shared" si="6"/>
        <v>0</v>
      </c>
      <c r="K68" s="4">
        <f t="shared" si="7"/>
        <v>0</v>
      </c>
      <c r="L68" s="4">
        <f t="shared" si="8"/>
        <v>0</v>
      </c>
      <c r="M68" s="4">
        <f t="shared" si="9"/>
        <v>0</v>
      </c>
      <c r="N68" s="4">
        <f t="shared" si="10"/>
        <v>0</v>
      </c>
      <c r="O68" s="4">
        <f t="shared" si="11"/>
        <v>0</v>
      </c>
      <c r="P68" s="4">
        <f t="shared" si="12"/>
        <v>68376.289999999994</v>
      </c>
      <c r="Q68" s="4">
        <f t="shared" ref="Q68:Q99" si="21">P68/E68</f>
        <v>0.67790008114818978</v>
      </c>
      <c r="R68" s="4">
        <v>62</v>
      </c>
      <c r="S68" s="4">
        <f t="shared" si="18"/>
        <v>68136.461513046001</v>
      </c>
      <c r="T68" s="4">
        <f t="shared" si="16"/>
        <v>0.67552235999999999</v>
      </c>
      <c r="U68" s="11">
        <f t="shared" si="13"/>
        <v>32488.560000000012</v>
      </c>
      <c r="V68" s="11">
        <f t="shared" si="14"/>
        <v>0.32209991885181022</v>
      </c>
      <c r="X68" s="3">
        <v>41967</v>
      </c>
      <c r="Z68">
        <v>5065.01</v>
      </c>
      <c r="AB68">
        <v>5065.01</v>
      </c>
      <c r="AE68">
        <v>5065.01</v>
      </c>
      <c r="AG68">
        <v>41974.02</v>
      </c>
      <c r="AI68">
        <v>41974.02</v>
      </c>
      <c r="AK68">
        <v>16890.78</v>
      </c>
      <c r="AM68">
        <v>16890.78</v>
      </c>
      <c r="AO68">
        <v>5716.39</v>
      </c>
      <c r="AQ68">
        <v>5716.39</v>
      </c>
      <c r="AV68">
        <v>3795.1</v>
      </c>
      <c r="AX68">
        <v>3795.1</v>
      </c>
      <c r="AY68">
        <v>68376.289999999994</v>
      </c>
      <c r="BA68">
        <v>4241.88</v>
      </c>
      <c r="BC68">
        <v>4241.88</v>
      </c>
      <c r="BF68">
        <v>4241.88</v>
      </c>
      <c r="BT68">
        <v>100864.85</v>
      </c>
      <c r="BU68" s="1"/>
      <c r="BV68" s="1"/>
    </row>
    <row r="69" spans="4:74">
      <c r="D69" s="3">
        <v>41974</v>
      </c>
      <c r="E69" s="11">
        <f t="shared" ref="E69:E110" si="22">BT69</f>
        <v>111551.41</v>
      </c>
      <c r="F69" s="4">
        <f t="shared" ref="F69:F110" si="23">AY69</f>
        <v>76139.540000000008</v>
      </c>
      <c r="G69" s="4">
        <f t="shared" ref="G69:G110" si="24">F69/E69</f>
        <v>0.68255112149635766</v>
      </c>
      <c r="H69" s="4">
        <f t="shared" si="19"/>
        <v>0</v>
      </c>
      <c r="I69" s="4">
        <f t="shared" si="20"/>
        <v>0</v>
      </c>
      <c r="J69" s="4">
        <f t="shared" ref="J69:J110" si="25">SUM(H69:I69)</f>
        <v>0</v>
      </c>
      <c r="K69" s="4">
        <f t="shared" ref="K69:K110" si="26">SUM(AD69,BE69)</f>
        <v>0</v>
      </c>
      <c r="L69" s="4">
        <f t="shared" ref="L69:L110" si="27">SUM(J69:K69)</f>
        <v>0</v>
      </c>
      <c r="M69" s="4">
        <f t="shared" ref="M69:M110" si="28">L69/E69</f>
        <v>0</v>
      </c>
      <c r="N69" s="4">
        <f t="shared" ref="N69:N110" si="29">SUM(BK69,BP69,BS69)</f>
        <v>0</v>
      </c>
      <c r="O69" s="4">
        <f t="shared" ref="O69:O110" si="30">N69/E69</f>
        <v>0</v>
      </c>
      <c r="P69" s="4">
        <f t="shared" ref="P69:P110" si="31">SUM(F69,N69)</f>
        <v>76139.540000000008</v>
      </c>
      <c r="Q69" s="4">
        <f t="shared" si="21"/>
        <v>0.68255112149635766</v>
      </c>
      <c r="R69" s="4">
        <v>63</v>
      </c>
      <c r="S69" s="4">
        <f t="shared" si="18"/>
        <v>75409.326534247404</v>
      </c>
      <c r="T69" s="4">
        <f t="shared" si="16"/>
        <v>0.67600514</v>
      </c>
      <c r="U69" s="11">
        <f t="shared" ref="U69:U110" si="32">E69-SUM(F69,L69,N69)</f>
        <v>35411.869999999995</v>
      </c>
      <c r="V69" s="11">
        <f t="shared" ref="V69:V110" si="33">U69/E69</f>
        <v>0.31744887850364234</v>
      </c>
      <c r="X69" s="3">
        <v>41974</v>
      </c>
      <c r="Z69">
        <v>5827.29</v>
      </c>
      <c r="AB69">
        <v>5827.29</v>
      </c>
      <c r="AE69">
        <v>5827.29</v>
      </c>
      <c r="AG69">
        <v>46168.29</v>
      </c>
      <c r="AI69">
        <v>46168.29</v>
      </c>
      <c r="AK69">
        <v>18847.259999999998</v>
      </c>
      <c r="AM69">
        <v>18847.259999999998</v>
      </c>
      <c r="AO69">
        <v>6925.05</v>
      </c>
      <c r="AQ69">
        <v>6925.05</v>
      </c>
      <c r="AV69">
        <v>4198.9399999999996</v>
      </c>
      <c r="AX69">
        <v>4198.9399999999996</v>
      </c>
      <c r="AY69">
        <v>76139.540000000008</v>
      </c>
      <c r="BA69">
        <v>4671.6499999999996</v>
      </c>
      <c r="BC69">
        <v>4671.6499999999996</v>
      </c>
      <c r="BF69">
        <v>4671.6499999999996</v>
      </c>
      <c r="BT69">
        <v>111551.41</v>
      </c>
      <c r="BU69" s="1"/>
      <c r="BV69" s="1"/>
    </row>
    <row r="70" spans="4:74">
      <c r="D70" s="3">
        <v>41981</v>
      </c>
      <c r="E70" s="11">
        <f t="shared" si="22"/>
        <v>115321.62999999999</v>
      </c>
      <c r="F70" s="4">
        <f t="shared" si="23"/>
        <v>79002.080000000002</v>
      </c>
      <c r="G70" s="4">
        <f t="shared" si="24"/>
        <v>0.68505864858136334</v>
      </c>
      <c r="H70" s="4">
        <f t="shared" si="19"/>
        <v>0</v>
      </c>
      <c r="I70" s="4">
        <f t="shared" si="20"/>
        <v>0</v>
      </c>
      <c r="J70" s="4">
        <f t="shared" si="25"/>
        <v>0</v>
      </c>
      <c r="K70" s="4">
        <f t="shared" si="26"/>
        <v>0</v>
      </c>
      <c r="L70" s="4">
        <f t="shared" si="27"/>
        <v>0</v>
      </c>
      <c r="M70" s="4">
        <f t="shared" si="28"/>
        <v>0</v>
      </c>
      <c r="N70" s="4">
        <f t="shared" si="29"/>
        <v>0</v>
      </c>
      <c r="O70" s="4">
        <f t="shared" si="30"/>
        <v>0</v>
      </c>
      <c r="P70" s="4">
        <f t="shared" si="31"/>
        <v>79002.080000000002</v>
      </c>
      <c r="Q70" s="4">
        <f t="shared" si="21"/>
        <v>0.68505864858136334</v>
      </c>
      <c r="R70" s="4">
        <v>64</v>
      </c>
      <c r="S70" s="4">
        <f t="shared" si="18"/>
        <v>78013.689609709589</v>
      </c>
      <c r="T70" s="4">
        <f t="shared" si="16"/>
        <v>0.67648792000000002</v>
      </c>
      <c r="U70" s="11">
        <f t="shared" si="32"/>
        <v>36319.549999999988</v>
      </c>
      <c r="V70" s="11">
        <f t="shared" si="33"/>
        <v>0.31494135141863666</v>
      </c>
      <c r="X70" s="3">
        <v>41981</v>
      </c>
      <c r="Z70">
        <v>5879.95</v>
      </c>
      <c r="AB70">
        <v>5879.95</v>
      </c>
      <c r="AE70">
        <v>5879.95</v>
      </c>
      <c r="AG70">
        <v>49599.05</v>
      </c>
      <c r="AI70">
        <v>49599.05</v>
      </c>
      <c r="AK70">
        <v>18301.18</v>
      </c>
      <c r="AM70">
        <v>18301.18</v>
      </c>
      <c r="AO70">
        <v>7036.54</v>
      </c>
      <c r="AQ70">
        <v>7036.54</v>
      </c>
      <c r="AV70">
        <v>4065.31</v>
      </c>
      <c r="AX70">
        <v>4065.31</v>
      </c>
      <c r="AY70">
        <v>79002.080000000002</v>
      </c>
      <c r="BA70">
        <v>4868.7</v>
      </c>
      <c r="BC70">
        <v>4868.7</v>
      </c>
      <c r="BF70">
        <v>4868.7</v>
      </c>
      <c r="BT70">
        <v>115321.62999999999</v>
      </c>
      <c r="BU70" s="1"/>
      <c r="BV70" s="1"/>
    </row>
    <row r="71" spans="4:74">
      <c r="D71" s="3">
        <v>41988</v>
      </c>
      <c r="E71" s="11">
        <f t="shared" si="22"/>
        <v>120742.27</v>
      </c>
      <c r="F71" s="4">
        <f t="shared" si="23"/>
        <v>82962.91</v>
      </c>
      <c r="G71" s="4">
        <f t="shared" si="24"/>
        <v>0.68710742310874229</v>
      </c>
      <c r="H71" s="4">
        <f t="shared" si="19"/>
        <v>0</v>
      </c>
      <c r="I71" s="4">
        <f t="shared" si="20"/>
        <v>0</v>
      </c>
      <c r="J71" s="4">
        <f t="shared" si="25"/>
        <v>0</v>
      </c>
      <c r="K71" s="4">
        <f t="shared" si="26"/>
        <v>0</v>
      </c>
      <c r="L71" s="4">
        <f t="shared" si="27"/>
        <v>0</v>
      </c>
      <c r="M71" s="4">
        <f t="shared" si="28"/>
        <v>0</v>
      </c>
      <c r="N71" s="4">
        <f t="shared" si="29"/>
        <v>0</v>
      </c>
      <c r="O71" s="4">
        <f t="shared" si="30"/>
        <v>0</v>
      </c>
      <c r="P71" s="4">
        <f t="shared" si="31"/>
        <v>82962.91</v>
      </c>
      <c r="Q71" s="4">
        <f t="shared" si="21"/>
        <v>0.68710742310874229</v>
      </c>
      <c r="R71" s="4">
        <v>65</v>
      </c>
      <c r="S71" s="4">
        <f t="shared" ref="S71:S102" si="34">T71*E71</f>
        <v>81738.979041489001</v>
      </c>
      <c r="T71" s="4">
        <f t="shared" ref="T71:T110" si="35">$B$9+$B$10*R71</f>
        <v>0.67697070000000004</v>
      </c>
      <c r="U71" s="11">
        <f t="shared" si="32"/>
        <v>37779.360000000001</v>
      </c>
      <c r="V71" s="11">
        <f t="shared" si="33"/>
        <v>0.31289257689125771</v>
      </c>
      <c r="X71" s="3">
        <v>41988</v>
      </c>
      <c r="Z71">
        <v>5920.83</v>
      </c>
      <c r="AB71">
        <v>5920.83</v>
      </c>
      <c r="AE71">
        <v>5920.83</v>
      </c>
      <c r="AG71">
        <v>52315.38</v>
      </c>
      <c r="AI71">
        <v>52315.38</v>
      </c>
      <c r="AK71">
        <v>19031.52</v>
      </c>
      <c r="AM71">
        <v>19031.52</v>
      </c>
      <c r="AO71">
        <v>7489.66</v>
      </c>
      <c r="AQ71">
        <v>7489.66</v>
      </c>
      <c r="AV71">
        <v>4126.3500000000004</v>
      </c>
      <c r="AX71">
        <v>4126.3500000000004</v>
      </c>
      <c r="AY71">
        <v>82962.91</v>
      </c>
      <c r="BA71">
        <v>4836.82</v>
      </c>
      <c r="BC71">
        <v>4836.82</v>
      </c>
      <c r="BF71">
        <v>4836.82</v>
      </c>
      <c r="BT71">
        <v>120742.27</v>
      </c>
      <c r="BU71" s="1"/>
      <c r="BV71" s="1"/>
    </row>
    <row r="72" spans="4:74">
      <c r="D72" s="3">
        <v>41995</v>
      </c>
      <c r="E72" s="11">
        <f t="shared" si="22"/>
        <v>111770.39000000001</v>
      </c>
      <c r="F72" s="4">
        <f t="shared" si="23"/>
        <v>77224.160000000003</v>
      </c>
      <c r="G72" s="4">
        <f t="shared" si="24"/>
        <v>0.69091787189791498</v>
      </c>
      <c r="H72" s="4">
        <f t="shared" si="19"/>
        <v>0</v>
      </c>
      <c r="I72" s="4">
        <f t="shared" si="20"/>
        <v>0</v>
      </c>
      <c r="J72" s="4">
        <f t="shared" si="25"/>
        <v>0</v>
      </c>
      <c r="K72" s="4">
        <f t="shared" si="26"/>
        <v>0</v>
      </c>
      <c r="L72" s="4">
        <f t="shared" si="27"/>
        <v>0</v>
      </c>
      <c r="M72" s="4">
        <f t="shared" si="28"/>
        <v>0</v>
      </c>
      <c r="N72" s="4">
        <f t="shared" si="29"/>
        <v>0</v>
      </c>
      <c r="O72" s="4">
        <f t="shared" si="30"/>
        <v>0</v>
      </c>
      <c r="P72" s="4">
        <f t="shared" si="31"/>
        <v>77224.160000000003</v>
      </c>
      <c r="Q72" s="4">
        <f t="shared" si="21"/>
        <v>0.69091787189791498</v>
      </c>
      <c r="R72" s="4">
        <v>66</v>
      </c>
      <c r="S72" s="4">
        <f t="shared" si="34"/>
        <v>75719.239666457215</v>
      </c>
      <c r="T72" s="4">
        <f t="shared" si="35"/>
        <v>0.67745348000000005</v>
      </c>
      <c r="U72" s="11">
        <f t="shared" si="32"/>
        <v>34546.23000000001</v>
      </c>
      <c r="V72" s="11">
        <f t="shared" si="33"/>
        <v>0.30908212810208507</v>
      </c>
      <c r="X72" s="3">
        <v>41995</v>
      </c>
      <c r="Z72">
        <v>5116.34</v>
      </c>
      <c r="AB72">
        <v>5116.34</v>
      </c>
      <c r="AE72">
        <v>5116.34</v>
      </c>
      <c r="AG72">
        <v>49406.85</v>
      </c>
      <c r="AI72">
        <v>49406.85</v>
      </c>
      <c r="AK72">
        <v>17414.560000000001</v>
      </c>
      <c r="AM72">
        <v>17414.560000000001</v>
      </c>
      <c r="AO72">
        <v>6600.98</v>
      </c>
      <c r="AQ72">
        <v>6600.98</v>
      </c>
      <c r="AV72">
        <v>3801.77</v>
      </c>
      <c r="AX72">
        <v>3801.77</v>
      </c>
      <c r="AY72">
        <v>77224.160000000003</v>
      </c>
      <c r="BA72">
        <v>4604.7</v>
      </c>
      <c r="BC72">
        <v>4604.7</v>
      </c>
      <c r="BF72">
        <v>4604.7</v>
      </c>
      <c r="BT72">
        <v>111770.39000000001</v>
      </c>
      <c r="BU72" s="1"/>
      <c r="BV72" s="1"/>
    </row>
    <row r="73" spans="4:74">
      <c r="D73" s="3">
        <v>42002</v>
      </c>
      <c r="E73" s="11">
        <f t="shared" si="22"/>
        <v>117081.18000000001</v>
      </c>
      <c r="F73" s="4">
        <f t="shared" si="23"/>
        <v>80844.11</v>
      </c>
      <c r="G73" s="4">
        <f t="shared" si="24"/>
        <v>0.69049620101198161</v>
      </c>
      <c r="H73" s="4">
        <f t="shared" si="19"/>
        <v>0</v>
      </c>
      <c r="I73" s="4">
        <f t="shared" si="20"/>
        <v>0</v>
      </c>
      <c r="J73" s="4">
        <f t="shared" si="25"/>
        <v>0</v>
      </c>
      <c r="K73" s="4">
        <f t="shared" si="26"/>
        <v>0</v>
      </c>
      <c r="L73" s="4">
        <f t="shared" si="27"/>
        <v>0</v>
      </c>
      <c r="M73" s="4">
        <f t="shared" si="28"/>
        <v>0</v>
      </c>
      <c r="N73" s="4">
        <f t="shared" si="29"/>
        <v>0</v>
      </c>
      <c r="O73" s="4">
        <f t="shared" si="30"/>
        <v>0</v>
      </c>
      <c r="P73" s="4">
        <f t="shared" si="31"/>
        <v>80844.11</v>
      </c>
      <c r="Q73" s="4">
        <f t="shared" si="21"/>
        <v>0.69049620101198161</v>
      </c>
      <c r="R73" s="4">
        <v>67</v>
      </c>
      <c r="S73" s="4">
        <f t="shared" si="34"/>
        <v>79373.577285586798</v>
      </c>
      <c r="T73" s="4">
        <f t="shared" si="35"/>
        <v>0.67793625999999996</v>
      </c>
      <c r="U73" s="11">
        <f t="shared" si="32"/>
        <v>36237.070000000007</v>
      </c>
      <c r="V73" s="11">
        <f t="shared" si="33"/>
        <v>0.30950379898801844</v>
      </c>
      <c r="X73" s="3">
        <v>42002</v>
      </c>
      <c r="Z73">
        <v>5230.1499999999996</v>
      </c>
      <c r="AB73">
        <v>5230.1499999999996</v>
      </c>
      <c r="AE73">
        <v>5230.1499999999996</v>
      </c>
      <c r="AG73">
        <v>52246.37</v>
      </c>
      <c r="AI73">
        <v>52246.37</v>
      </c>
      <c r="AK73">
        <v>17955.27</v>
      </c>
      <c r="AM73">
        <v>17955.27</v>
      </c>
      <c r="AO73">
        <v>6640.21</v>
      </c>
      <c r="AQ73">
        <v>6640.21</v>
      </c>
      <c r="AV73">
        <v>4002.26</v>
      </c>
      <c r="AX73">
        <v>4002.26</v>
      </c>
      <c r="AY73">
        <v>80844.11</v>
      </c>
      <c r="BA73">
        <v>4634.53</v>
      </c>
      <c r="BC73">
        <v>4634.53</v>
      </c>
      <c r="BF73">
        <v>4634.53</v>
      </c>
      <c r="BT73">
        <v>117081.18000000001</v>
      </c>
      <c r="BU73" s="1"/>
      <c r="BV73" s="1"/>
    </row>
    <row r="74" spans="4:74">
      <c r="D74" s="3">
        <v>42009</v>
      </c>
      <c r="E74" s="11">
        <f t="shared" si="22"/>
        <v>129637.48999999996</v>
      </c>
      <c r="F74" s="4">
        <f t="shared" si="23"/>
        <v>88856.66</v>
      </c>
      <c r="G74" s="4">
        <f t="shared" si="24"/>
        <v>0.68542410069803128</v>
      </c>
      <c r="H74" s="4">
        <f t="shared" si="19"/>
        <v>0</v>
      </c>
      <c r="I74" s="4">
        <f t="shared" si="20"/>
        <v>0</v>
      </c>
      <c r="J74" s="4">
        <f t="shared" si="25"/>
        <v>0</v>
      </c>
      <c r="K74" s="4">
        <f t="shared" si="26"/>
        <v>0</v>
      </c>
      <c r="L74" s="4">
        <f t="shared" si="27"/>
        <v>0</v>
      </c>
      <c r="M74" s="4">
        <f t="shared" si="28"/>
        <v>0</v>
      </c>
      <c r="N74" s="4">
        <f t="shared" si="29"/>
        <v>0</v>
      </c>
      <c r="O74" s="4">
        <f t="shared" si="30"/>
        <v>0</v>
      </c>
      <c r="P74" s="4">
        <f t="shared" si="31"/>
        <v>88856.66</v>
      </c>
      <c r="Q74" s="4">
        <f t="shared" si="21"/>
        <v>0.68542410069803128</v>
      </c>
      <c r="R74" s="4">
        <v>68</v>
      </c>
      <c r="S74" s="4">
        <f t="shared" si="34"/>
        <v>87948.54151380957</v>
      </c>
      <c r="T74" s="4">
        <f t="shared" si="35"/>
        <v>0.67841903999999997</v>
      </c>
      <c r="U74" s="11">
        <f t="shared" si="32"/>
        <v>40780.829999999958</v>
      </c>
      <c r="V74" s="11">
        <f t="shared" si="33"/>
        <v>0.31457589930196866</v>
      </c>
      <c r="X74" s="3">
        <v>42009</v>
      </c>
      <c r="AA74">
        <v>5854.7</v>
      </c>
      <c r="AB74">
        <v>5854.7</v>
      </c>
      <c r="AE74">
        <v>5854.7</v>
      </c>
      <c r="AH74">
        <v>58619.11</v>
      </c>
      <c r="AI74">
        <v>58619.11</v>
      </c>
      <c r="AL74">
        <v>19212.78</v>
      </c>
      <c r="AM74">
        <v>19212.78</v>
      </c>
      <c r="AP74">
        <v>6816.43</v>
      </c>
      <c r="AQ74">
        <v>6816.43</v>
      </c>
      <c r="AW74">
        <v>4208.34</v>
      </c>
      <c r="AX74">
        <v>4208.34</v>
      </c>
      <c r="AY74">
        <v>88856.66</v>
      </c>
      <c r="BB74">
        <v>5043.93</v>
      </c>
      <c r="BC74">
        <v>5043.93</v>
      </c>
      <c r="BF74">
        <v>5043.93</v>
      </c>
      <c r="BT74">
        <v>129637.48999999996</v>
      </c>
      <c r="BU74" s="1">
        <v>5854.7</v>
      </c>
      <c r="BV74" s="1">
        <v>5043.93</v>
      </c>
    </row>
    <row r="75" spans="4:74">
      <c r="D75" s="3">
        <v>42016</v>
      </c>
      <c r="E75" s="11">
        <f t="shared" si="22"/>
        <v>121533.84000000001</v>
      </c>
      <c r="F75" s="4">
        <f t="shared" si="23"/>
        <v>84070.71</v>
      </c>
      <c r="G75" s="4">
        <f t="shared" si="24"/>
        <v>0.69174733555691159</v>
      </c>
      <c r="H75" s="4">
        <f t="shared" si="19"/>
        <v>0</v>
      </c>
      <c r="I75" s="4">
        <f t="shared" si="20"/>
        <v>0</v>
      </c>
      <c r="J75" s="4">
        <f t="shared" si="25"/>
        <v>0</v>
      </c>
      <c r="K75" s="4">
        <f t="shared" si="26"/>
        <v>0</v>
      </c>
      <c r="L75" s="4">
        <f t="shared" si="27"/>
        <v>0</v>
      </c>
      <c r="M75" s="4">
        <f t="shared" si="28"/>
        <v>0</v>
      </c>
      <c r="N75" s="4">
        <f t="shared" si="29"/>
        <v>0</v>
      </c>
      <c r="O75" s="4">
        <f t="shared" si="30"/>
        <v>0</v>
      </c>
      <c r="P75" s="4">
        <f t="shared" si="31"/>
        <v>84070.71</v>
      </c>
      <c r="Q75" s="4">
        <f t="shared" si="21"/>
        <v>0.69174733555691159</v>
      </c>
      <c r="R75" s="4">
        <v>69</v>
      </c>
      <c r="S75" s="4">
        <f t="shared" si="34"/>
        <v>82509.545167588803</v>
      </c>
      <c r="T75" s="4">
        <f t="shared" si="35"/>
        <v>0.67890181999999999</v>
      </c>
      <c r="U75" s="11">
        <f t="shared" si="32"/>
        <v>37463.130000000005</v>
      </c>
      <c r="V75" s="11">
        <f t="shared" si="33"/>
        <v>0.30825266444308846</v>
      </c>
      <c r="X75" s="3">
        <v>42016</v>
      </c>
      <c r="AA75">
        <v>5176.58</v>
      </c>
      <c r="AB75">
        <v>5176.58</v>
      </c>
      <c r="AE75">
        <v>5176.58</v>
      </c>
      <c r="AH75">
        <v>53109.67</v>
      </c>
      <c r="AI75">
        <v>53109.67</v>
      </c>
      <c r="AL75">
        <v>19972.77</v>
      </c>
      <c r="AM75">
        <v>19972.77</v>
      </c>
      <c r="AP75">
        <v>6573.55</v>
      </c>
      <c r="AQ75">
        <v>6573.55</v>
      </c>
      <c r="AW75">
        <v>4414.72</v>
      </c>
      <c r="AX75">
        <v>4414.72</v>
      </c>
      <c r="AY75">
        <v>84070.71</v>
      </c>
      <c r="BB75">
        <v>4238.8500000000004</v>
      </c>
      <c r="BC75">
        <v>4238.8500000000004</v>
      </c>
      <c r="BF75">
        <v>4238.8500000000004</v>
      </c>
      <c r="BT75">
        <v>121533.84000000001</v>
      </c>
      <c r="BU75" s="1">
        <v>5176.58</v>
      </c>
      <c r="BV75" s="1">
        <v>4238.8500000000004</v>
      </c>
    </row>
    <row r="76" spans="4:74">
      <c r="D76" s="3">
        <v>42023</v>
      </c>
      <c r="E76" s="11">
        <f t="shared" si="22"/>
        <v>116036.83000000002</v>
      </c>
      <c r="F76" s="4">
        <f t="shared" si="23"/>
        <v>80449.3</v>
      </c>
      <c r="G76" s="4">
        <f t="shared" si="24"/>
        <v>0.69330832288334654</v>
      </c>
      <c r="H76" s="4">
        <f t="shared" si="19"/>
        <v>0</v>
      </c>
      <c r="I76" s="4">
        <f t="shared" si="20"/>
        <v>0</v>
      </c>
      <c r="J76" s="4">
        <f t="shared" si="25"/>
        <v>0</v>
      </c>
      <c r="K76" s="4">
        <f t="shared" si="26"/>
        <v>-0.3</v>
      </c>
      <c r="L76" s="4">
        <f t="shared" si="27"/>
        <v>-0.3</v>
      </c>
      <c r="M76" s="4">
        <f t="shared" si="28"/>
        <v>-2.5853860364851398E-6</v>
      </c>
      <c r="N76" s="4">
        <f t="shared" si="29"/>
        <v>0</v>
      </c>
      <c r="O76" s="4">
        <f t="shared" si="30"/>
        <v>0</v>
      </c>
      <c r="P76" s="4">
        <f t="shared" si="31"/>
        <v>80449.3</v>
      </c>
      <c r="Q76" s="4">
        <f t="shared" si="21"/>
        <v>0.69330832288334654</v>
      </c>
      <c r="R76" s="4">
        <v>70</v>
      </c>
      <c r="S76" s="4">
        <f t="shared" si="34"/>
        <v>78833.635334818013</v>
      </c>
      <c r="T76" s="4">
        <f t="shared" si="35"/>
        <v>0.67938460000000001</v>
      </c>
      <c r="U76" s="11">
        <f t="shared" si="32"/>
        <v>35587.830000000016</v>
      </c>
      <c r="V76" s="11">
        <f t="shared" si="33"/>
        <v>0.30669426250269</v>
      </c>
      <c r="X76" s="3">
        <v>42023</v>
      </c>
      <c r="AA76">
        <v>4687.0200000000004</v>
      </c>
      <c r="AB76">
        <v>4687.0200000000004</v>
      </c>
      <c r="AC76">
        <v>-0.3</v>
      </c>
      <c r="AD76">
        <v>-0.3</v>
      </c>
      <c r="AE76">
        <v>4686.72</v>
      </c>
      <c r="AH76">
        <v>50716.03</v>
      </c>
      <c r="AI76">
        <v>50716.03</v>
      </c>
      <c r="AL76">
        <v>19096.13</v>
      </c>
      <c r="AM76">
        <v>19096.13</v>
      </c>
      <c r="AP76">
        <v>6280.62</v>
      </c>
      <c r="AQ76">
        <v>6280.62</v>
      </c>
      <c r="AW76">
        <v>4356.5200000000004</v>
      </c>
      <c r="AX76">
        <v>4356.5200000000004</v>
      </c>
      <c r="AY76">
        <v>80449.3</v>
      </c>
      <c r="BB76">
        <v>3974.68</v>
      </c>
      <c r="BC76">
        <v>3974.68</v>
      </c>
      <c r="BF76">
        <v>3974.68</v>
      </c>
      <c r="BT76">
        <v>116036.83000000002</v>
      </c>
      <c r="BU76" s="1">
        <v>4687.0200000000004</v>
      </c>
      <c r="BV76" s="1">
        <v>3974.68</v>
      </c>
    </row>
    <row r="77" spans="4:74">
      <c r="D77" s="3">
        <v>42030</v>
      </c>
      <c r="E77" s="11">
        <f t="shared" si="22"/>
        <v>114518.14</v>
      </c>
      <c r="F77" s="4">
        <f t="shared" si="23"/>
        <v>78802.920000000013</v>
      </c>
      <c r="G77" s="4">
        <f t="shared" si="24"/>
        <v>0.68812609076605691</v>
      </c>
      <c r="H77" s="4">
        <f t="shared" si="19"/>
        <v>0</v>
      </c>
      <c r="I77" s="4">
        <f t="shared" si="20"/>
        <v>0</v>
      </c>
      <c r="J77" s="4">
        <f t="shared" si="25"/>
        <v>0</v>
      </c>
      <c r="K77" s="4">
        <f t="shared" si="26"/>
        <v>0</v>
      </c>
      <c r="L77" s="4">
        <f t="shared" si="27"/>
        <v>0</v>
      </c>
      <c r="M77" s="4">
        <f t="shared" si="28"/>
        <v>0</v>
      </c>
      <c r="N77" s="4">
        <f t="shared" si="29"/>
        <v>0</v>
      </c>
      <c r="O77" s="4">
        <f t="shared" si="30"/>
        <v>0</v>
      </c>
      <c r="P77" s="4">
        <f t="shared" si="31"/>
        <v>78802.920000000013</v>
      </c>
      <c r="Q77" s="4">
        <f t="shared" si="21"/>
        <v>0.68812609076605691</v>
      </c>
      <c r="R77" s="4">
        <v>71</v>
      </c>
      <c r="S77" s="4">
        <f t="shared" si="34"/>
        <v>77857.147804273205</v>
      </c>
      <c r="T77" s="4">
        <f t="shared" si="35"/>
        <v>0.67986738000000002</v>
      </c>
      <c r="U77" s="11">
        <f t="shared" si="32"/>
        <v>35715.219999999987</v>
      </c>
      <c r="V77" s="11">
        <f t="shared" si="33"/>
        <v>0.31187390923394309</v>
      </c>
      <c r="X77" s="3">
        <v>42030</v>
      </c>
      <c r="AA77">
        <v>4703.37</v>
      </c>
      <c r="AB77">
        <v>4703.37</v>
      </c>
      <c r="AC77">
        <v>0</v>
      </c>
      <c r="AD77">
        <v>0</v>
      </c>
      <c r="AE77">
        <v>4703.37</v>
      </c>
      <c r="AH77">
        <v>51805.93</v>
      </c>
      <c r="AI77">
        <v>51805.93</v>
      </c>
      <c r="AL77">
        <v>17521.73</v>
      </c>
      <c r="AM77">
        <v>17521.73</v>
      </c>
      <c r="AP77">
        <v>5777.41</v>
      </c>
      <c r="AQ77">
        <v>5777.41</v>
      </c>
      <c r="AW77">
        <v>3697.85</v>
      </c>
      <c r="AX77">
        <v>3697.85</v>
      </c>
      <c r="AY77">
        <v>78802.920000000013</v>
      </c>
      <c r="BB77">
        <v>3967.17</v>
      </c>
      <c r="BC77">
        <v>3967.17</v>
      </c>
      <c r="BD77">
        <v>0</v>
      </c>
      <c r="BE77">
        <v>0</v>
      </c>
      <c r="BF77">
        <v>3967.17</v>
      </c>
      <c r="BI77">
        <v>0</v>
      </c>
      <c r="BJ77">
        <v>0</v>
      </c>
      <c r="BK77">
        <v>0</v>
      </c>
      <c r="BN77">
        <v>0</v>
      </c>
      <c r="BO77">
        <v>0</v>
      </c>
      <c r="BP77">
        <v>0</v>
      </c>
      <c r="BQ77">
        <v>0</v>
      </c>
      <c r="BR77">
        <v>0</v>
      </c>
      <c r="BS77">
        <v>0</v>
      </c>
      <c r="BT77">
        <v>114518.14</v>
      </c>
      <c r="BU77" s="1">
        <v>4703.37</v>
      </c>
      <c r="BV77" s="1">
        <v>3967.17</v>
      </c>
    </row>
    <row r="78" spans="4:74">
      <c r="D78" s="3">
        <v>42037</v>
      </c>
      <c r="E78" s="11">
        <f t="shared" si="22"/>
        <v>107704.58999999998</v>
      </c>
      <c r="F78" s="4">
        <f t="shared" si="23"/>
        <v>74381.280000000013</v>
      </c>
      <c r="G78" s="4">
        <f t="shared" si="24"/>
        <v>0.69060455083669159</v>
      </c>
      <c r="H78" s="4">
        <f t="shared" ref="H78:H110" si="36">AB78-Z78-Y78-BU78</f>
        <v>3930.3</v>
      </c>
      <c r="I78" s="4">
        <f t="shared" ref="I78:I110" si="37">BC78-BA78-AZ78-BV78</f>
        <v>3174.49</v>
      </c>
      <c r="J78" s="4">
        <f t="shared" si="25"/>
        <v>7104.79</v>
      </c>
      <c r="K78" s="4">
        <f t="shared" si="26"/>
        <v>413.22</v>
      </c>
      <c r="L78" s="4">
        <f t="shared" si="27"/>
        <v>7518.01</v>
      </c>
      <c r="M78" s="4">
        <f t="shared" si="28"/>
        <v>6.9802131923996938E-2</v>
      </c>
      <c r="N78" s="4">
        <f t="shared" si="29"/>
        <v>838.9</v>
      </c>
      <c r="O78" s="4">
        <f t="shared" si="30"/>
        <v>7.7888973905383243E-3</v>
      </c>
      <c r="P78" s="4">
        <f t="shared" si="31"/>
        <v>75220.180000000008</v>
      </c>
      <c r="Q78" s="4">
        <f t="shared" si="21"/>
        <v>0.69839344822722982</v>
      </c>
      <c r="R78" s="4">
        <v>72</v>
      </c>
      <c r="S78" s="4">
        <f t="shared" si="34"/>
        <v>73276.835039234385</v>
      </c>
      <c r="T78" s="4">
        <f t="shared" si="35"/>
        <v>0.68035016000000004</v>
      </c>
      <c r="U78" s="11">
        <f t="shared" si="32"/>
        <v>24966.39999999998</v>
      </c>
      <c r="V78" s="11">
        <f t="shared" si="33"/>
        <v>0.23180441984877323</v>
      </c>
      <c r="X78" s="3">
        <v>42037</v>
      </c>
      <c r="AA78">
        <v>3930.3</v>
      </c>
      <c r="AB78">
        <v>3930.3</v>
      </c>
      <c r="AC78">
        <v>203.06</v>
      </c>
      <c r="AD78">
        <v>203.06</v>
      </c>
      <c r="AE78">
        <v>4133.3600000000006</v>
      </c>
      <c r="AH78">
        <v>47415.05</v>
      </c>
      <c r="AI78">
        <v>47415.05</v>
      </c>
      <c r="AL78">
        <v>17169.330000000002</v>
      </c>
      <c r="AM78">
        <v>17169.330000000002</v>
      </c>
      <c r="AP78">
        <v>5917.35</v>
      </c>
      <c r="AQ78">
        <v>5917.35</v>
      </c>
      <c r="AW78">
        <v>3879.55</v>
      </c>
      <c r="AX78">
        <v>3879.55</v>
      </c>
      <c r="AY78">
        <v>74381.280000000013</v>
      </c>
      <c r="BB78">
        <v>3174.49</v>
      </c>
      <c r="BC78">
        <v>3174.49</v>
      </c>
      <c r="BD78">
        <v>210.16</v>
      </c>
      <c r="BE78">
        <v>210.16</v>
      </c>
      <c r="BF78">
        <v>3384.6499999999996</v>
      </c>
      <c r="BG78">
        <v>113</v>
      </c>
      <c r="BH78">
        <v>113</v>
      </c>
      <c r="BI78">
        <v>232.88</v>
      </c>
      <c r="BJ78">
        <v>232.88</v>
      </c>
      <c r="BK78">
        <v>345.88</v>
      </c>
      <c r="BL78">
        <v>105</v>
      </c>
      <c r="BM78">
        <v>105</v>
      </c>
      <c r="BN78">
        <v>179.87</v>
      </c>
      <c r="BO78">
        <v>179.87</v>
      </c>
      <c r="BP78">
        <v>284.87</v>
      </c>
      <c r="BQ78">
        <v>208.15</v>
      </c>
      <c r="BR78">
        <v>208.15</v>
      </c>
      <c r="BS78">
        <v>208.15</v>
      </c>
      <c r="BT78">
        <v>107704.58999999998</v>
      </c>
      <c r="BU78" s="1"/>
      <c r="BV78" s="1"/>
    </row>
    <row r="79" spans="4:74">
      <c r="D79" s="3">
        <v>42044</v>
      </c>
      <c r="E79" s="11">
        <f t="shared" si="22"/>
        <v>160214.48000000001</v>
      </c>
      <c r="F79" s="4">
        <f t="shared" si="23"/>
        <v>66808.429999999993</v>
      </c>
      <c r="G79" s="4">
        <f t="shared" si="24"/>
        <v>0.41699370743518305</v>
      </c>
      <c r="H79" s="4">
        <f t="shared" si="36"/>
        <v>4265.08</v>
      </c>
      <c r="I79" s="4">
        <f t="shared" si="37"/>
        <v>2941.55</v>
      </c>
      <c r="J79" s="4">
        <f t="shared" si="25"/>
        <v>7206.63</v>
      </c>
      <c r="K79" s="4">
        <f t="shared" si="26"/>
        <v>18226.440000000002</v>
      </c>
      <c r="L79" s="4">
        <f t="shared" si="27"/>
        <v>25433.070000000003</v>
      </c>
      <c r="M79" s="4">
        <f t="shared" si="28"/>
        <v>0.15874389131369401</v>
      </c>
      <c r="N79" s="4">
        <f t="shared" si="29"/>
        <v>44994.43</v>
      </c>
      <c r="O79" s="4">
        <f t="shared" si="30"/>
        <v>0.28083872319156167</v>
      </c>
      <c r="P79" s="4">
        <f t="shared" si="31"/>
        <v>111802.85999999999</v>
      </c>
      <c r="Q79" s="4">
        <f t="shared" si="21"/>
        <v>0.69783243062674472</v>
      </c>
      <c r="R79" s="4">
        <v>73</v>
      </c>
      <c r="S79" s="4">
        <f t="shared" si="34"/>
        <v>109079.2954489712</v>
      </c>
      <c r="T79" s="4">
        <f t="shared" si="35"/>
        <v>0.68083293999999994</v>
      </c>
      <c r="U79" s="11">
        <f t="shared" si="32"/>
        <v>22978.550000000017</v>
      </c>
      <c r="V79" s="11">
        <f t="shared" si="33"/>
        <v>0.14342367805956127</v>
      </c>
      <c r="X79" s="3">
        <v>42044</v>
      </c>
      <c r="AA79">
        <v>4265.08</v>
      </c>
      <c r="AB79">
        <v>4265.08</v>
      </c>
      <c r="AC79">
        <v>9282.76</v>
      </c>
      <c r="AD79">
        <v>9282.76</v>
      </c>
      <c r="AE79">
        <v>13547.84</v>
      </c>
      <c r="AH79">
        <v>42990.239999999998</v>
      </c>
      <c r="AI79">
        <v>42990.239999999998</v>
      </c>
      <c r="AL79">
        <v>14918.99</v>
      </c>
      <c r="AM79">
        <v>14918.99</v>
      </c>
      <c r="AP79">
        <v>5284.78</v>
      </c>
      <c r="AQ79">
        <v>5284.78</v>
      </c>
      <c r="AW79">
        <v>3614.42</v>
      </c>
      <c r="AX79">
        <v>3614.42</v>
      </c>
      <c r="AY79">
        <v>66808.429999999993</v>
      </c>
      <c r="BB79">
        <v>2941.55</v>
      </c>
      <c r="BC79">
        <v>2941.55</v>
      </c>
      <c r="BD79">
        <v>8943.68</v>
      </c>
      <c r="BE79">
        <v>8943.68</v>
      </c>
      <c r="BF79">
        <v>11885.23</v>
      </c>
      <c r="BG79">
        <v>9179.99</v>
      </c>
      <c r="BH79">
        <v>9179.99</v>
      </c>
      <c r="BI79">
        <v>12097.5</v>
      </c>
      <c r="BJ79">
        <v>12097.5</v>
      </c>
      <c r="BK79">
        <v>21277.489999999998</v>
      </c>
      <c r="BL79">
        <v>7048.82</v>
      </c>
      <c r="BM79">
        <v>7048.82</v>
      </c>
      <c r="BN79">
        <v>8479.41</v>
      </c>
      <c r="BO79">
        <v>8479.41</v>
      </c>
      <c r="BP79">
        <v>15528.23</v>
      </c>
      <c r="BQ79">
        <v>8188.71</v>
      </c>
      <c r="BR79">
        <v>8188.71</v>
      </c>
      <c r="BS79">
        <v>8188.71</v>
      </c>
      <c r="BT79">
        <v>160214.48000000001</v>
      </c>
      <c r="BU79" s="1"/>
      <c r="BV79" s="1"/>
    </row>
    <row r="80" spans="4:74">
      <c r="D80" s="3">
        <v>42051</v>
      </c>
      <c r="E80" s="11">
        <f t="shared" si="22"/>
        <v>139006.11000000002</v>
      </c>
      <c r="F80" s="4">
        <f t="shared" si="23"/>
        <v>72012.929999999993</v>
      </c>
      <c r="G80" s="4">
        <f t="shared" si="24"/>
        <v>0.51805586099776468</v>
      </c>
      <c r="H80" s="4">
        <f t="shared" si="36"/>
        <v>3533.18</v>
      </c>
      <c r="I80" s="4">
        <f t="shared" si="37"/>
        <v>2497.81</v>
      </c>
      <c r="J80" s="4">
        <f t="shared" si="25"/>
        <v>6030.99</v>
      </c>
      <c r="K80" s="4">
        <f t="shared" si="26"/>
        <v>10910.58</v>
      </c>
      <c r="L80" s="4">
        <f t="shared" si="27"/>
        <v>16941.57</v>
      </c>
      <c r="M80" s="4">
        <f t="shared" si="28"/>
        <v>0.12187644125858926</v>
      </c>
      <c r="N80" s="4">
        <f t="shared" si="29"/>
        <v>27337.53</v>
      </c>
      <c r="O80" s="4">
        <f t="shared" si="30"/>
        <v>0.19666423296069502</v>
      </c>
      <c r="P80" s="4">
        <f t="shared" si="31"/>
        <v>99350.459999999992</v>
      </c>
      <c r="Q80" s="4">
        <f t="shared" si="21"/>
        <v>0.7147200939584597</v>
      </c>
      <c r="R80" s="4">
        <v>74</v>
      </c>
      <c r="S80" s="4">
        <f t="shared" si="34"/>
        <v>94707.047919049204</v>
      </c>
      <c r="T80" s="4">
        <f t="shared" si="35"/>
        <v>0.68131571999999996</v>
      </c>
      <c r="U80" s="11">
        <f t="shared" si="32"/>
        <v>22714.080000000016</v>
      </c>
      <c r="V80" s="11">
        <f t="shared" si="33"/>
        <v>0.16340346478295101</v>
      </c>
      <c r="X80" s="3">
        <v>42051</v>
      </c>
      <c r="AA80">
        <v>3533.18</v>
      </c>
      <c r="AB80">
        <v>3533.18</v>
      </c>
      <c r="AC80">
        <v>5851.62</v>
      </c>
      <c r="AD80">
        <v>5851.62</v>
      </c>
      <c r="AE80">
        <v>9384.7999999999993</v>
      </c>
      <c r="AH80">
        <v>44861.13</v>
      </c>
      <c r="AI80">
        <v>44861.13</v>
      </c>
      <c r="AL80">
        <v>16720.939999999999</v>
      </c>
      <c r="AM80">
        <v>16720.939999999999</v>
      </c>
      <c r="AP80">
        <v>6207.01</v>
      </c>
      <c r="AQ80">
        <v>6207.01</v>
      </c>
      <c r="AW80">
        <v>4223.8500000000004</v>
      </c>
      <c r="AX80">
        <v>4223.8500000000004</v>
      </c>
      <c r="AY80">
        <v>72012.929999999993</v>
      </c>
      <c r="BB80">
        <v>2497.81</v>
      </c>
      <c r="BC80">
        <v>2497.81</v>
      </c>
      <c r="BD80">
        <v>5058.96</v>
      </c>
      <c r="BE80">
        <v>5058.96</v>
      </c>
      <c r="BF80">
        <v>7556.77</v>
      </c>
      <c r="BG80">
        <v>5921.63</v>
      </c>
      <c r="BH80">
        <v>5921.63</v>
      </c>
      <c r="BI80">
        <v>8415.35</v>
      </c>
      <c r="BJ80">
        <v>8415.35</v>
      </c>
      <c r="BK80">
        <v>14336.98</v>
      </c>
      <c r="BL80">
        <v>3835.1</v>
      </c>
      <c r="BM80">
        <v>3835.1</v>
      </c>
      <c r="BN80">
        <v>4634.59</v>
      </c>
      <c r="BO80">
        <v>4634.59</v>
      </c>
      <c r="BP80">
        <v>8469.69</v>
      </c>
      <c r="BQ80">
        <v>4530.8599999999997</v>
      </c>
      <c r="BR80">
        <v>4530.8599999999997</v>
      </c>
      <c r="BS80">
        <v>4530.8599999999997</v>
      </c>
      <c r="BT80">
        <v>139006.11000000002</v>
      </c>
      <c r="BU80" s="1"/>
      <c r="BV80" s="1"/>
    </row>
    <row r="81" spans="4:74">
      <c r="D81" s="3">
        <v>42058</v>
      </c>
      <c r="E81" s="11">
        <f t="shared" si="22"/>
        <v>122463.75</v>
      </c>
      <c r="F81" s="4">
        <f t="shared" si="23"/>
        <v>69941.22</v>
      </c>
      <c r="G81" s="4">
        <f t="shared" si="24"/>
        <v>0.57111773892274242</v>
      </c>
      <c r="H81" s="4">
        <f t="shared" si="36"/>
        <v>3118.11</v>
      </c>
      <c r="I81" s="4">
        <f t="shared" si="37"/>
        <v>2242.66</v>
      </c>
      <c r="J81" s="4">
        <f t="shared" si="25"/>
        <v>5360.77</v>
      </c>
      <c r="K81" s="4">
        <f t="shared" si="26"/>
        <v>7093.72</v>
      </c>
      <c r="L81" s="4">
        <f t="shared" si="27"/>
        <v>12454.490000000002</v>
      </c>
      <c r="M81" s="4">
        <f t="shared" si="28"/>
        <v>0.10169940084310665</v>
      </c>
      <c r="N81" s="4">
        <f t="shared" si="29"/>
        <v>17711.439999999999</v>
      </c>
      <c r="O81" s="4">
        <f t="shared" si="30"/>
        <v>0.14462598115768951</v>
      </c>
      <c r="P81" s="4">
        <f t="shared" si="31"/>
        <v>87652.66</v>
      </c>
      <c r="Q81" s="4">
        <f t="shared" si="21"/>
        <v>0.71574372008043197</v>
      </c>
      <c r="R81" s="4">
        <v>75</v>
      </c>
      <c r="S81" s="4">
        <f t="shared" si="34"/>
        <v>83495.601054375002</v>
      </c>
      <c r="T81" s="4">
        <f t="shared" si="35"/>
        <v>0.68179849999999997</v>
      </c>
      <c r="U81" s="11">
        <f t="shared" si="32"/>
        <v>22356.599999999991</v>
      </c>
      <c r="V81" s="11">
        <f t="shared" si="33"/>
        <v>0.18255687907646134</v>
      </c>
      <c r="X81" s="3">
        <v>42058</v>
      </c>
      <c r="AA81">
        <v>3118.11</v>
      </c>
      <c r="AB81">
        <v>3118.11</v>
      </c>
      <c r="AC81">
        <v>4014.84</v>
      </c>
      <c r="AD81">
        <v>4014.84</v>
      </c>
      <c r="AE81">
        <v>7132.9500000000007</v>
      </c>
      <c r="AH81">
        <v>42889.58</v>
      </c>
      <c r="AI81">
        <v>42889.58</v>
      </c>
      <c r="AL81">
        <v>16708.43</v>
      </c>
      <c r="AM81">
        <v>16708.43</v>
      </c>
      <c r="AP81">
        <v>6112.87</v>
      </c>
      <c r="AQ81">
        <v>6112.87</v>
      </c>
      <c r="AW81">
        <v>4230.34</v>
      </c>
      <c r="AX81">
        <v>4230.34</v>
      </c>
      <c r="AY81">
        <v>69941.22</v>
      </c>
      <c r="BB81">
        <v>2242.66</v>
      </c>
      <c r="BC81">
        <v>2242.66</v>
      </c>
      <c r="BD81">
        <v>3078.88</v>
      </c>
      <c r="BE81">
        <v>3078.88</v>
      </c>
      <c r="BF81">
        <v>5321.54</v>
      </c>
      <c r="BG81">
        <v>4011.87</v>
      </c>
      <c r="BH81">
        <v>4011.87</v>
      </c>
      <c r="BI81">
        <v>5993.73</v>
      </c>
      <c r="BJ81">
        <v>5993.73</v>
      </c>
      <c r="BK81">
        <v>10005.599999999999</v>
      </c>
      <c r="BL81">
        <v>2329.66</v>
      </c>
      <c r="BM81">
        <v>2329.66</v>
      </c>
      <c r="BN81">
        <v>2681.4</v>
      </c>
      <c r="BO81">
        <v>2681.4</v>
      </c>
      <c r="BP81">
        <v>5011.0599999999995</v>
      </c>
      <c r="BQ81">
        <v>2694.78</v>
      </c>
      <c r="BR81">
        <v>2694.78</v>
      </c>
      <c r="BS81">
        <v>2694.78</v>
      </c>
      <c r="BT81">
        <v>122463.75</v>
      </c>
      <c r="BU81" s="1"/>
      <c r="BV81" s="1"/>
    </row>
    <row r="82" spans="4:74">
      <c r="D82" s="3">
        <v>42065</v>
      </c>
      <c r="E82" s="11">
        <f t="shared" si="22"/>
        <v>130418.66000000003</v>
      </c>
      <c r="F82" s="4">
        <f t="shared" si="23"/>
        <v>76733.7</v>
      </c>
      <c r="G82" s="4">
        <f t="shared" si="24"/>
        <v>0.58836442576545389</v>
      </c>
      <c r="H82" s="4">
        <f t="shared" si="36"/>
        <v>3339.25</v>
      </c>
      <c r="I82" s="4">
        <f t="shared" si="37"/>
        <v>2541.09</v>
      </c>
      <c r="J82" s="4">
        <f t="shared" si="25"/>
        <v>5880.34</v>
      </c>
      <c r="K82" s="4">
        <f t="shared" si="26"/>
        <v>7036.24</v>
      </c>
      <c r="L82" s="4">
        <f t="shared" si="27"/>
        <v>12916.58</v>
      </c>
      <c r="M82" s="4">
        <f t="shared" si="28"/>
        <v>9.9039355257905554E-2</v>
      </c>
      <c r="N82" s="4">
        <f t="shared" si="29"/>
        <v>15758.66</v>
      </c>
      <c r="O82" s="4">
        <f t="shared" si="30"/>
        <v>0.12083132889112644</v>
      </c>
      <c r="P82" s="4">
        <f t="shared" si="31"/>
        <v>92492.36</v>
      </c>
      <c r="Q82" s="4">
        <f t="shared" si="21"/>
        <v>0.70919575465658036</v>
      </c>
      <c r="R82" s="4">
        <v>76</v>
      </c>
      <c r="S82" s="4">
        <f t="shared" si="34"/>
        <v>88982.210280684827</v>
      </c>
      <c r="T82" s="4">
        <f t="shared" si="35"/>
        <v>0.68228127999999999</v>
      </c>
      <c r="U82" s="11">
        <f t="shared" si="32"/>
        <v>25009.72000000003</v>
      </c>
      <c r="V82" s="11">
        <f t="shared" si="33"/>
        <v>0.19176489008551403</v>
      </c>
      <c r="X82" s="3">
        <v>42065</v>
      </c>
      <c r="AA82">
        <v>3339.25</v>
      </c>
      <c r="AB82">
        <v>3339.25</v>
      </c>
      <c r="AC82">
        <v>4043.28</v>
      </c>
      <c r="AD82">
        <v>4043.28</v>
      </c>
      <c r="AE82">
        <v>7382.5300000000007</v>
      </c>
      <c r="AH82">
        <v>46586.17</v>
      </c>
      <c r="AI82">
        <v>46586.17</v>
      </c>
      <c r="AL82">
        <v>18753.310000000001</v>
      </c>
      <c r="AM82">
        <v>18753.310000000001</v>
      </c>
      <c r="AP82">
        <v>6682.75</v>
      </c>
      <c r="AQ82">
        <v>6682.75</v>
      </c>
      <c r="AW82">
        <v>4711.47</v>
      </c>
      <c r="AX82">
        <v>4711.47</v>
      </c>
      <c r="AY82">
        <v>76733.7</v>
      </c>
      <c r="BB82">
        <v>2541.09</v>
      </c>
      <c r="BC82">
        <v>2541.09</v>
      </c>
      <c r="BD82">
        <v>2992.96</v>
      </c>
      <c r="BE82">
        <v>2992.96</v>
      </c>
      <c r="BF82">
        <v>5534.05</v>
      </c>
      <c r="BG82">
        <v>3857.87</v>
      </c>
      <c r="BH82">
        <v>3857.87</v>
      </c>
      <c r="BI82">
        <v>5434.96</v>
      </c>
      <c r="BJ82">
        <v>5434.96</v>
      </c>
      <c r="BK82">
        <v>9292.83</v>
      </c>
      <c r="BL82">
        <v>1933.08</v>
      </c>
      <c r="BM82">
        <v>1933.08</v>
      </c>
      <c r="BN82">
        <v>2163.94</v>
      </c>
      <c r="BO82">
        <v>2163.94</v>
      </c>
      <c r="BP82">
        <v>4097.0200000000004</v>
      </c>
      <c r="BQ82">
        <v>2368.81</v>
      </c>
      <c r="BR82">
        <v>2368.81</v>
      </c>
      <c r="BS82">
        <v>2368.81</v>
      </c>
      <c r="BT82">
        <v>130418.66000000003</v>
      </c>
      <c r="BU82" s="1"/>
      <c r="BV82" s="1"/>
    </row>
    <row r="83" spans="4:74">
      <c r="D83" s="3">
        <v>42072</v>
      </c>
      <c r="E83" s="11">
        <f t="shared" si="22"/>
        <v>134417.22</v>
      </c>
      <c r="F83" s="4">
        <f t="shared" si="23"/>
        <v>80913.459999999992</v>
      </c>
      <c r="G83" s="4">
        <f t="shared" si="24"/>
        <v>0.60195754680836278</v>
      </c>
      <c r="H83" s="4">
        <f t="shared" si="36"/>
        <v>3406.65</v>
      </c>
      <c r="I83" s="4">
        <f t="shared" si="37"/>
        <v>2699.26</v>
      </c>
      <c r="J83" s="4">
        <f t="shared" si="25"/>
        <v>6105.91</v>
      </c>
      <c r="K83" s="4">
        <f t="shared" si="26"/>
        <v>7039.8</v>
      </c>
      <c r="L83" s="4">
        <f t="shared" si="27"/>
        <v>13145.71</v>
      </c>
      <c r="M83" s="4">
        <f t="shared" si="28"/>
        <v>9.7797811917252855E-2</v>
      </c>
      <c r="N83" s="4">
        <f t="shared" si="29"/>
        <v>15171.42</v>
      </c>
      <c r="O83" s="4">
        <f t="shared" si="30"/>
        <v>0.112868128056807</v>
      </c>
      <c r="P83" s="4">
        <f t="shared" si="31"/>
        <v>96084.87999999999</v>
      </c>
      <c r="Q83" s="4">
        <f t="shared" si="21"/>
        <v>0.71482567486516968</v>
      </c>
      <c r="R83" s="4">
        <v>77</v>
      </c>
      <c r="S83" s="4">
        <f t="shared" si="34"/>
        <v>91775.246861113206</v>
      </c>
      <c r="T83" s="4">
        <f t="shared" si="35"/>
        <v>0.68276406000000001</v>
      </c>
      <c r="U83" s="11">
        <f t="shared" si="32"/>
        <v>25186.630000000019</v>
      </c>
      <c r="V83" s="11">
        <f t="shared" si="33"/>
        <v>0.18737651321757748</v>
      </c>
      <c r="X83" s="3">
        <v>42072</v>
      </c>
      <c r="AA83">
        <v>3406.65</v>
      </c>
      <c r="AB83">
        <v>3406.65</v>
      </c>
      <c r="AC83">
        <v>4000.44</v>
      </c>
      <c r="AD83">
        <v>4000.44</v>
      </c>
      <c r="AE83">
        <v>7407.09</v>
      </c>
      <c r="AH83">
        <v>48793.3</v>
      </c>
      <c r="AI83">
        <v>48793.3</v>
      </c>
      <c r="AL83">
        <v>20179.04</v>
      </c>
      <c r="AM83">
        <v>20179.04</v>
      </c>
      <c r="AP83">
        <v>6899.78</v>
      </c>
      <c r="AQ83">
        <v>6899.78</v>
      </c>
      <c r="AW83">
        <v>5041.34</v>
      </c>
      <c r="AX83">
        <v>5041.34</v>
      </c>
      <c r="AY83">
        <v>80913.459999999992</v>
      </c>
      <c r="BB83">
        <v>2699.26</v>
      </c>
      <c r="BC83">
        <v>2699.26</v>
      </c>
      <c r="BD83">
        <v>3039.36</v>
      </c>
      <c r="BE83">
        <v>3039.36</v>
      </c>
      <c r="BF83">
        <v>5738.6200000000008</v>
      </c>
      <c r="BG83">
        <v>3740.82</v>
      </c>
      <c r="BH83">
        <v>3740.82</v>
      </c>
      <c r="BI83">
        <v>5352.81</v>
      </c>
      <c r="BJ83">
        <v>5352.81</v>
      </c>
      <c r="BK83">
        <v>9093.630000000001</v>
      </c>
      <c r="BL83">
        <v>1690.57</v>
      </c>
      <c r="BM83">
        <v>1690.57</v>
      </c>
      <c r="BN83">
        <v>2096.5</v>
      </c>
      <c r="BO83">
        <v>2096.5</v>
      </c>
      <c r="BP83">
        <v>3787.0699999999997</v>
      </c>
      <c r="BQ83">
        <v>2290.7199999999998</v>
      </c>
      <c r="BR83">
        <v>2290.7199999999998</v>
      </c>
      <c r="BS83">
        <v>2290.7199999999998</v>
      </c>
      <c r="BT83">
        <v>134417.22</v>
      </c>
      <c r="BU83" s="1"/>
      <c r="BV83" s="1"/>
    </row>
    <row r="84" spans="4:74">
      <c r="D84" s="3">
        <v>42079</v>
      </c>
      <c r="E84" s="11">
        <f t="shared" si="22"/>
        <v>133809.28</v>
      </c>
      <c r="F84" s="4">
        <f t="shared" si="23"/>
        <v>81735.41</v>
      </c>
      <c r="G84" s="4">
        <f t="shared" si="24"/>
        <v>0.61083513789178157</v>
      </c>
      <c r="H84" s="4">
        <f t="shared" si="36"/>
        <v>3294.79</v>
      </c>
      <c r="I84" s="4">
        <f t="shared" si="37"/>
        <v>2432.5100000000002</v>
      </c>
      <c r="J84" s="4">
        <f t="shared" si="25"/>
        <v>5727.3</v>
      </c>
      <c r="K84" s="4">
        <f t="shared" si="26"/>
        <v>7243.5300000000007</v>
      </c>
      <c r="L84" s="4">
        <f t="shared" si="27"/>
        <v>12970.830000000002</v>
      </c>
      <c r="M84" s="4">
        <f t="shared" si="28"/>
        <v>9.6935205091903953E-2</v>
      </c>
      <c r="N84" s="4">
        <f t="shared" si="29"/>
        <v>13875.74</v>
      </c>
      <c r="O84" s="4">
        <f t="shared" si="30"/>
        <v>0.10369789001181383</v>
      </c>
      <c r="P84" s="4">
        <f t="shared" si="31"/>
        <v>95611.150000000009</v>
      </c>
      <c r="Q84" s="4">
        <f t="shared" si="21"/>
        <v>0.71453302790359541</v>
      </c>
      <c r="R84" s="4">
        <v>78</v>
      </c>
      <c r="S84" s="4">
        <f t="shared" si="34"/>
        <v>91424.767722675198</v>
      </c>
      <c r="T84" s="4">
        <f t="shared" si="35"/>
        <v>0.68324684000000002</v>
      </c>
      <c r="U84" s="11">
        <f t="shared" si="32"/>
        <v>25227.299999999988</v>
      </c>
      <c r="V84" s="11">
        <f t="shared" si="33"/>
        <v>0.18853176700450064</v>
      </c>
      <c r="X84" s="3">
        <v>42079</v>
      </c>
      <c r="AA84">
        <v>3294.79</v>
      </c>
      <c r="AB84">
        <v>3294.79</v>
      </c>
      <c r="AC84">
        <v>4221.2700000000004</v>
      </c>
      <c r="AD84">
        <v>4221.2700000000004</v>
      </c>
      <c r="AE84">
        <v>7516.06</v>
      </c>
      <c r="AH84">
        <v>48694.15</v>
      </c>
      <c r="AI84">
        <v>48694.15</v>
      </c>
      <c r="AL84">
        <v>20542.150000000001</v>
      </c>
      <c r="AM84">
        <v>20542.150000000001</v>
      </c>
      <c r="AP84">
        <v>7238.87</v>
      </c>
      <c r="AQ84">
        <v>7238.87</v>
      </c>
      <c r="AW84">
        <v>5260.24</v>
      </c>
      <c r="AX84">
        <v>5260.24</v>
      </c>
      <c r="AY84">
        <v>81735.41</v>
      </c>
      <c r="BB84">
        <v>2432.5100000000002</v>
      </c>
      <c r="BC84">
        <v>2432.5100000000002</v>
      </c>
      <c r="BD84">
        <v>3022.26</v>
      </c>
      <c r="BE84">
        <v>3022.26</v>
      </c>
      <c r="BF84">
        <v>5454.77</v>
      </c>
      <c r="BG84">
        <v>3337.12</v>
      </c>
      <c r="BH84">
        <v>3337.12</v>
      </c>
      <c r="BI84">
        <v>5381.87</v>
      </c>
      <c r="BJ84">
        <v>5381.87</v>
      </c>
      <c r="BK84">
        <v>8718.99</v>
      </c>
      <c r="BL84">
        <v>1364.57</v>
      </c>
      <c r="BM84">
        <v>1364.57</v>
      </c>
      <c r="BN84">
        <v>1738.17</v>
      </c>
      <c r="BO84">
        <v>1738.17</v>
      </c>
      <c r="BP84">
        <v>3102.74</v>
      </c>
      <c r="BQ84">
        <v>2054.0100000000002</v>
      </c>
      <c r="BR84">
        <v>2054.0100000000002</v>
      </c>
      <c r="BS84">
        <v>2054.0100000000002</v>
      </c>
      <c r="BT84">
        <v>133809.28</v>
      </c>
      <c r="BU84" s="1"/>
      <c r="BV84" s="1"/>
    </row>
    <row r="85" spans="4:74">
      <c r="D85" s="3">
        <v>42086</v>
      </c>
      <c r="E85" s="11">
        <f t="shared" si="22"/>
        <v>127258.00000000001</v>
      </c>
      <c r="F85" s="4">
        <f t="shared" si="23"/>
        <v>77246.760000000009</v>
      </c>
      <c r="G85" s="4">
        <f t="shared" si="24"/>
        <v>0.60700906819217648</v>
      </c>
      <c r="H85" s="4">
        <f t="shared" si="36"/>
        <v>3026.64</v>
      </c>
      <c r="I85" s="4">
        <f t="shared" si="37"/>
        <v>2462.27</v>
      </c>
      <c r="J85" s="4">
        <f t="shared" si="25"/>
        <v>5488.91</v>
      </c>
      <c r="K85" s="4">
        <f t="shared" si="26"/>
        <v>6907.32</v>
      </c>
      <c r="L85" s="4">
        <f t="shared" si="27"/>
        <v>12396.23</v>
      </c>
      <c r="M85" s="4">
        <f t="shared" si="28"/>
        <v>9.7410221754231544E-2</v>
      </c>
      <c r="N85" s="4">
        <f t="shared" si="29"/>
        <v>12816.14</v>
      </c>
      <c r="O85" s="4">
        <f t="shared" si="30"/>
        <v>0.10070989643087271</v>
      </c>
      <c r="P85" s="4">
        <f t="shared" si="31"/>
        <v>90062.900000000009</v>
      </c>
      <c r="Q85" s="4">
        <f t="shared" si="21"/>
        <v>0.70771896462304917</v>
      </c>
      <c r="R85" s="4">
        <v>79</v>
      </c>
      <c r="S85" s="4">
        <f t="shared" si="34"/>
        <v>87010.063981960018</v>
      </c>
      <c r="T85" s="4">
        <f t="shared" si="35"/>
        <v>0.68372962000000004</v>
      </c>
      <c r="U85" s="11">
        <f t="shared" si="32"/>
        <v>24798.87000000001</v>
      </c>
      <c r="V85" s="11">
        <f t="shared" si="33"/>
        <v>0.19487081362271927</v>
      </c>
      <c r="X85" s="3">
        <v>42086</v>
      </c>
      <c r="AA85">
        <v>3026.64</v>
      </c>
      <c r="AB85">
        <v>3026.64</v>
      </c>
      <c r="AC85">
        <v>3960.27</v>
      </c>
      <c r="AD85">
        <v>3960.27</v>
      </c>
      <c r="AE85">
        <v>6986.91</v>
      </c>
      <c r="AH85">
        <v>45450.54</v>
      </c>
      <c r="AI85">
        <v>45450.54</v>
      </c>
      <c r="AL85">
        <v>20568.150000000001</v>
      </c>
      <c r="AM85">
        <v>20568.150000000001</v>
      </c>
      <c r="AP85">
        <v>6576.49</v>
      </c>
      <c r="AQ85">
        <v>6576.49</v>
      </c>
      <c r="AW85">
        <v>4651.58</v>
      </c>
      <c r="AX85">
        <v>4651.58</v>
      </c>
      <c r="AY85">
        <v>77246.760000000009</v>
      </c>
      <c r="BB85">
        <v>2462.27</v>
      </c>
      <c r="BC85">
        <v>2462.27</v>
      </c>
      <c r="BD85">
        <v>2947.05</v>
      </c>
      <c r="BE85">
        <v>2947.05</v>
      </c>
      <c r="BF85">
        <v>5409.32</v>
      </c>
      <c r="BG85">
        <v>3015.87</v>
      </c>
      <c r="BH85">
        <v>3015.87</v>
      </c>
      <c r="BI85">
        <v>4865.46</v>
      </c>
      <c r="BJ85">
        <v>4865.46</v>
      </c>
      <c r="BK85">
        <v>7881.33</v>
      </c>
      <c r="BL85">
        <v>1184.67</v>
      </c>
      <c r="BM85">
        <v>1184.67</v>
      </c>
      <c r="BN85">
        <v>1708.28</v>
      </c>
      <c r="BO85">
        <v>1708.28</v>
      </c>
      <c r="BP85">
        <v>2892.95</v>
      </c>
      <c r="BQ85">
        <v>2041.86</v>
      </c>
      <c r="BR85">
        <v>2041.86</v>
      </c>
      <c r="BS85">
        <v>2041.86</v>
      </c>
      <c r="BT85">
        <v>127258.00000000001</v>
      </c>
      <c r="BU85" s="1"/>
      <c r="BV85" s="1"/>
    </row>
    <row r="86" spans="4:74">
      <c r="D86" s="3">
        <v>42093</v>
      </c>
      <c r="E86" s="11">
        <f t="shared" si="22"/>
        <v>122991.13</v>
      </c>
      <c r="F86" s="4">
        <f t="shared" si="23"/>
        <v>75215.569999999992</v>
      </c>
      <c r="G86" s="4">
        <f t="shared" si="24"/>
        <v>0.6115528005962706</v>
      </c>
      <c r="H86" s="4">
        <f t="shared" si="36"/>
        <v>2832.23</v>
      </c>
      <c r="I86" s="4">
        <f t="shared" si="37"/>
        <v>2276.89</v>
      </c>
      <c r="J86" s="4">
        <f t="shared" si="25"/>
        <v>5109.12</v>
      </c>
      <c r="K86" s="4">
        <f t="shared" si="26"/>
        <v>6645.98</v>
      </c>
      <c r="L86" s="4">
        <f t="shared" si="27"/>
        <v>11755.099999999999</v>
      </c>
      <c r="M86" s="4">
        <f t="shared" si="28"/>
        <v>9.55768111082482E-2</v>
      </c>
      <c r="N86" s="4">
        <f t="shared" si="29"/>
        <v>11396.32</v>
      </c>
      <c r="O86" s="4">
        <f t="shared" si="30"/>
        <v>9.2659690174405257E-2</v>
      </c>
      <c r="P86" s="4">
        <f t="shared" si="31"/>
        <v>86611.889999999985</v>
      </c>
      <c r="Q86" s="4">
        <f t="shared" si="21"/>
        <v>0.70421249077067571</v>
      </c>
      <c r="R86" s="4">
        <v>80</v>
      </c>
      <c r="S86" s="4">
        <f t="shared" si="34"/>
        <v>84152.056236012009</v>
      </c>
      <c r="T86" s="4">
        <f t="shared" si="35"/>
        <v>0.68421240000000005</v>
      </c>
      <c r="U86" s="11">
        <f t="shared" si="32"/>
        <v>24624.140000000014</v>
      </c>
      <c r="V86" s="11">
        <f t="shared" si="33"/>
        <v>0.200210698121076</v>
      </c>
      <c r="X86" s="3">
        <v>42093</v>
      </c>
      <c r="AA86">
        <v>2832.23</v>
      </c>
      <c r="AB86">
        <v>2832.23</v>
      </c>
      <c r="AC86">
        <v>3856.14</v>
      </c>
      <c r="AD86">
        <v>3856.14</v>
      </c>
      <c r="AE86">
        <v>6688.37</v>
      </c>
      <c r="AH86">
        <v>44361.96</v>
      </c>
      <c r="AI86">
        <v>44361.96</v>
      </c>
      <c r="AL86">
        <v>19465.080000000002</v>
      </c>
      <c r="AM86">
        <v>19465.080000000002</v>
      </c>
      <c r="AP86">
        <v>6629.19</v>
      </c>
      <c r="AQ86">
        <v>6629.19</v>
      </c>
      <c r="AW86">
        <v>4759.34</v>
      </c>
      <c r="AX86">
        <v>4759.34</v>
      </c>
      <c r="AY86">
        <v>75215.569999999992</v>
      </c>
      <c r="BB86">
        <v>2276.89</v>
      </c>
      <c r="BC86">
        <v>2276.89</v>
      </c>
      <c r="BD86">
        <v>2789.84</v>
      </c>
      <c r="BE86">
        <v>2789.84</v>
      </c>
      <c r="BF86">
        <v>5066.7299999999996</v>
      </c>
      <c r="BG86">
        <v>2717.06</v>
      </c>
      <c r="BH86">
        <v>2717.06</v>
      </c>
      <c r="BI86">
        <v>4462.59</v>
      </c>
      <c r="BJ86">
        <v>4462.59</v>
      </c>
      <c r="BK86">
        <v>7179.65</v>
      </c>
      <c r="BL86">
        <v>1094.28</v>
      </c>
      <c r="BM86">
        <v>1094.28</v>
      </c>
      <c r="BN86">
        <v>1431.85</v>
      </c>
      <c r="BO86">
        <v>1431.85</v>
      </c>
      <c r="BP86">
        <v>2526.13</v>
      </c>
      <c r="BQ86">
        <v>1690.54</v>
      </c>
      <c r="BR86">
        <v>1690.54</v>
      </c>
      <c r="BS86">
        <v>1690.54</v>
      </c>
      <c r="BT86">
        <v>122991.13</v>
      </c>
      <c r="BU86" s="1"/>
      <c r="BV86" s="1"/>
    </row>
    <row r="87" spans="4:74">
      <c r="D87" s="3">
        <v>42100</v>
      </c>
      <c r="E87" s="11">
        <f t="shared" si="22"/>
        <v>135407.34000000003</v>
      </c>
      <c r="F87" s="4">
        <f t="shared" si="23"/>
        <v>84181.42</v>
      </c>
      <c r="G87" s="4">
        <f t="shared" si="24"/>
        <v>0.6216902274278483</v>
      </c>
      <c r="H87" s="4">
        <f t="shared" si="36"/>
        <v>3185.92</v>
      </c>
      <c r="I87" s="4">
        <f t="shared" si="37"/>
        <v>2513.2800000000002</v>
      </c>
      <c r="J87" s="4">
        <f t="shared" si="25"/>
        <v>5699.2000000000007</v>
      </c>
      <c r="K87" s="4">
        <f t="shared" si="26"/>
        <v>7064.59</v>
      </c>
      <c r="L87" s="4">
        <f t="shared" si="27"/>
        <v>12763.79</v>
      </c>
      <c r="M87" s="4">
        <f t="shared" si="28"/>
        <v>9.4262172198346109E-2</v>
      </c>
      <c r="N87" s="4">
        <f t="shared" si="29"/>
        <v>11822.74</v>
      </c>
      <c r="O87" s="4">
        <f t="shared" si="30"/>
        <v>8.7312401233197529E-2</v>
      </c>
      <c r="P87" s="4">
        <f t="shared" si="31"/>
        <v>96004.160000000003</v>
      </c>
      <c r="Q87" s="4">
        <f t="shared" si="21"/>
        <v>0.70900262866104591</v>
      </c>
      <c r="R87" s="4">
        <v>81</v>
      </c>
      <c r="S87" s="4">
        <f t="shared" si="34"/>
        <v>92712.753034621215</v>
      </c>
      <c r="T87" s="4">
        <f t="shared" si="35"/>
        <v>0.68469517999999996</v>
      </c>
      <c r="U87" s="11">
        <f t="shared" si="32"/>
        <v>26639.390000000029</v>
      </c>
      <c r="V87" s="11">
        <f t="shared" si="33"/>
        <v>0.19673519914060805</v>
      </c>
      <c r="X87" s="3">
        <v>42100</v>
      </c>
      <c r="AA87">
        <v>3185.92</v>
      </c>
      <c r="AB87">
        <v>3185.92</v>
      </c>
      <c r="AC87">
        <v>4089.74</v>
      </c>
      <c r="AD87">
        <v>4089.74</v>
      </c>
      <c r="AE87">
        <v>7275.66</v>
      </c>
      <c r="AH87">
        <v>50081.49</v>
      </c>
      <c r="AI87">
        <v>50081.49</v>
      </c>
      <c r="AL87">
        <v>20778.400000000001</v>
      </c>
      <c r="AM87">
        <v>20778.400000000001</v>
      </c>
      <c r="AP87">
        <v>7758.5</v>
      </c>
      <c r="AQ87">
        <v>7758.5</v>
      </c>
      <c r="AW87">
        <v>5563.03</v>
      </c>
      <c r="AX87">
        <v>5563.03</v>
      </c>
      <c r="AY87">
        <v>84181.42</v>
      </c>
      <c r="BB87">
        <v>2513.2800000000002</v>
      </c>
      <c r="BC87">
        <v>2513.2800000000002</v>
      </c>
      <c r="BD87">
        <v>2974.85</v>
      </c>
      <c r="BE87">
        <v>2974.85</v>
      </c>
      <c r="BF87">
        <v>5488.13</v>
      </c>
      <c r="BG87">
        <v>2964.49</v>
      </c>
      <c r="BH87">
        <v>2964.49</v>
      </c>
      <c r="BI87">
        <v>4558.3599999999997</v>
      </c>
      <c r="BJ87">
        <v>4558.3599999999997</v>
      </c>
      <c r="BK87">
        <v>7522.8499999999995</v>
      </c>
      <c r="BL87">
        <v>1200.17</v>
      </c>
      <c r="BM87">
        <v>1200.17</v>
      </c>
      <c r="BN87">
        <v>1410.44</v>
      </c>
      <c r="BO87">
        <v>1410.44</v>
      </c>
      <c r="BP87">
        <v>2610.61</v>
      </c>
      <c r="BQ87">
        <v>1689.28</v>
      </c>
      <c r="BR87">
        <v>1689.28</v>
      </c>
      <c r="BS87">
        <v>1689.28</v>
      </c>
      <c r="BT87">
        <v>135407.34000000003</v>
      </c>
      <c r="BU87" s="1"/>
      <c r="BV87" s="1"/>
    </row>
    <row r="88" spans="4:74">
      <c r="D88" s="3">
        <v>42107</v>
      </c>
      <c r="E88" s="11">
        <f t="shared" si="22"/>
        <v>130985.96</v>
      </c>
      <c r="F88" s="4">
        <f t="shared" si="23"/>
        <v>81655.14</v>
      </c>
      <c r="G88" s="4">
        <f t="shared" si="24"/>
        <v>0.62338849140778141</v>
      </c>
      <c r="H88" s="4">
        <f t="shared" si="36"/>
        <v>2987.09</v>
      </c>
      <c r="I88" s="4">
        <f t="shared" si="37"/>
        <v>2387.2600000000002</v>
      </c>
      <c r="J88" s="4">
        <f t="shared" si="25"/>
        <v>5374.35</v>
      </c>
      <c r="K88" s="4">
        <f t="shared" si="26"/>
        <v>6930.5</v>
      </c>
      <c r="L88" s="4">
        <f t="shared" si="27"/>
        <v>12304.85</v>
      </c>
      <c r="M88" s="4">
        <f t="shared" si="28"/>
        <v>9.3940220768699179E-2</v>
      </c>
      <c r="N88" s="4">
        <f t="shared" si="29"/>
        <v>11122</v>
      </c>
      <c r="O88" s="4">
        <f t="shared" si="30"/>
        <v>8.4909863622024837E-2</v>
      </c>
      <c r="P88" s="4">
        <f t="shared" si="31"/>
        <v>92777.14</v>
      </c>
      <c r="Q88" s="4">
        <f t="shared" si="21"/>
        <v>0.7082983550298062</v>
      </c>
      <c r="R88" s="4">
        <v>82</v>
      </c>
      <c r="S88" s="4">
        <f t="shared" si="34"/>
        <v>89748.692861441596</v>
      </c>
      <c r="T88" s="4">
        <f t="shared" si="35"/>
        <v>0.68517795999999997</v>
      </c>
      <c r="U88" s="11">
        <f t="shared" si="32"/>
        <v>25903.97</v>
      </c>
      <c r="V88" s="11">
        <f t="shared" si="33"/>
        <v>0.19776142420149456</v>
      </c>
      <c r="X88" s="3">
        <v>42107</v>
      </c>
      <c r="AA88">
        <v>2987.09</v>
      </c>
      <c r="AB88">
        <v>2987.09</v>
      </c>
      <c r="AC88">
        <v>4116.34</v>
      </c>
      <c r="AD88">
        <v>4116.34</v>
      </c>
      <c r="AE88">
        <v>7103.43</v>
      </c>
      <c r="AH88">
        <v>49334.03</v>
      </c>
      <c r="AI88">
        <v>49334.03</v>
      </c>
      <c r="AL88">
        <v>20031.14</v>
      </c>
      <c r="AM88">
        <v>20031.14</v>
      </c>
      <c r="AP88">
        <v>7124.24</v>
      </c>
      <c r="AQ88">
        <v>7124.24</v>
      </c>
      <c r="AW88">
        <v>5165.7299999999996</v>
      </c>
      <c r="AX88">
        <v>5165.7299999999996</v>
      </c>
      <c r="AY88">
        <v>81655.14</v>
      </c>
      <c r="BB88">
        <v>2387.2600000000002</v>
      </c>
      <c r="BC88">
        <v>2387.2600000000002</v>
      </c>
      <c r="BD88">
        <v>2814.16</v>
      </c>
      <c r="BE88">
        <v>2814.16</v>
      </c>
      <c r="BF88">
        <v>5201.42</v>
      </c>
      <c r="BG88">
        <v>2932.55</v>
      </c>
      <c r="BH88">
        <v>2932.55</v>
      </c>
      <c r="BI88">
        <v>4337.8599999999997</v>
      </c>
      <c r="BJ88">
        <v>4337.8599999999997</v>
      </c>
      <c r="BK88">
        <v>7270.41</v>
      </c>
      <c r="BL88">
        <v>1058.04</v>
      </c>
      <c r="BM88">
        <v>1058.04</v>
      </c>
      <c r="BN88">
        <v>1270.0999999999999</v>
      </c>
      <c r="BO88">
        <v>1270.0999999999999</v>
      </c>
      <c r="BP88">
        <v>2328.14</v>
      </c>
      <c r="BQ88">
        <v>1523.45</v>
      </c>
      <c r="BR88">
        <v>1523.45</v>
      </c>
      <c r="BS88">
        <v>1523.45</v>
      </c>
      <c r="BT88">
        <v>130985.96</v>
      </c>
      <c r="BU88" s="1"/>
      <c r="BV88" s="1"/>
    </row>
    <row r="89" spans="4:74">
      <c r="D89" s="3">
        <v>42114</v>
      </c>
      <c r="E89" s="11">
        <f t="shared" si="22"/>
        <v>124730.15999999996</v>
      </c>
      <c r="F89" s="4">
        <f t="shared" si="23"/>
        <v>77931.48</v>
      </c>
      <c r="G89" s="4">
        <f t="shared" si="24"/>
        <v>0.6248006095718952</v>
      </c>
      <c r="H89" s="4">
        <f t="shared" si="36"/>
        <v>3021.99</v>
      </c>
      <c r="I89" s="4">
        <f t="shared" si="37"/>
        <v>2290.62</v>
      </c>
      <c r="J89" s="4">
        <f t="shared" si="25"/>
        <v>5312.61</v>
      </c>
      <c r="K89" s="4">
        <f t="shared" si="26"/>
        <v>6320.84</v>
      </c>
      <c r="L89" s="4">
        <f t="shared" si="27"/>
        <v>11633.45</v>
      </c>
      <c r="M89" s="4">
        <f t="shared" si="28"/>
        <v>9.3268941529458513E-2</v>
      </c>
      <c r="N89" s="4">
        <f t="shared" si="29"/>
        <v>9901.17</v>
      </c>
      <c r="O89" s="4">
        <f t="shared" si="30"/>
        <v>7.9380720749496383E-2</v>
      </c>
      <c r="P89" s="4">
        <f t="shared" si="31"/>
        <v>87832.65</v>
      </c>
      <c r="Q89" s="4">
        <f t="shared" si="21"/>
        <v>0.70418133032139152</v>
      </c>
      <c r="R89" s="4">
        <v>83</v>
      </c>
      <c r="S89" s="4">
        <f t="shared" si="34"/>
        <v>85522.573805918364</v>
      </c>
      <c r="T89" s="4">
        <f t="shared" si="35"/>
        <v>0.68566073999999999</v>
      </c>
      <c r="U89" s="11">
        <f t="shared" si="32"/>
        <v>25264.059999999969</v>
      </c>
      <c r="V89" s="11">
        <f t="shared" si="33"/>
        <v>0.20254972814914995</v>
      </c>
      <c r="X89" s="3">
        <v>42114</v>
      </c>
      <c r="AA89">
        <v>3021.99</v>
      </c>
      <c r="AB89">
        <v>3021.99</v>
      </c>
      <c r="AC89">
        <v>3743.83</v>
      </c>
      <c r="AD89">
        <v>3743.83</v>
      </c>
      <c r="AE89">
        <v>6765.82</v>
      </c>
      <c r="AH89">
        <v>47107.47</v>
      </c>
      <c r="AI89">
        <v>47107.47</v>
      </c>
      <c r="AL89">
        <v>19073.23</v>
      </c>
      <c r="AM89">
        <v>19073.23</v>
      </c>
      <c r="AP89">
        <v>6786.63</v>
      </c>
      <c r="AQ89">
        <v>6786.63</v>
      </c>
      <c r="AW89">
        <v>4964.1499999999996</v>
      </c>
      <c r="AX89">
        <v>4964.1499999999996</v>
      </c>
      <c r="AY89">
        <v>77931.48</v>
      </c>
      <c r="BB89">
        <v>2290.62</v>
      </c>
      <c r="BC89">
        <v>2290.62</v>
      </c>
      <c r="BD89">
        <v>2577.0100000000002</v>
      </c>
      <c r="BE89">
        <v>2577.0100000000002</v>
      </c>
      <c r="BF89">
        <v>4867.63</v>
      </c>
      <c r="BG89">
        <v>2599.9699999999998</v>
      </c>
      <c r="BH89">
        <v>2599.9699999999998</v>
      </c>
      <c r="BI89">
        <v>3817.42</v>
      </c>
      <c r="BJ89">
        <v>3817.42</v>
      </c>
      <c r="BK89">
        <v>6417.3899999999994</v>
      </c>
      <c r="BL89">
        <v>918.76</v>
      </c>
      <c r="BM89">
        <v>918.76</v>
      </c>
      <c r="BN89">
        <v>1145.1199999999999</v>
      </c>
      <c r="BO89">
        <v>1145.1199999999999</v>
      </c>
      <c r="BP89">
        <v>2063.88</v>
      </c>
      <c r="BQ89">
        <v>1419.9</v>
      </c>
      <c r="BR89">
        <v>1419.9</v>
      </c>
      <c r="BS89">
        <v>1419.9</v>
      </c>
      <c r="BT89">
        <v>124730.15999999996</v>
      </c>
      <c r="BU89" s="1"/>
      <c r="BV89" s="1"/>
    </row>
    <row r="90" spans="4:74">
      <c r="D90" s="3">
        <v>42121</v>
      </c>
      <c r="E90" s="11">
        <f t="shared" si="22"/>
        <v>134195.04999999996</v>
      </c>
      <c r="F90" s="4">
        <f t="shared" si="23"/>
        <v>85604.290000000008</v>
      </c>
      <c r="G90" s="4">
        <f t="shared" si="24"/>
        <v>0.63790944598925248</v>
      </c>
      <c r="H90" s="4">
        <f t="shared" si="36"/>
        <v>2606.8200000000002</v>
      </c>
      <c r="I90" s="4">
        <f t="shared" si="37"/>
        <v>2056.5300000000002</v>
      </c>
      <c r="J90" s="4">
        <f t="shared" si="25"/>
        <v>4663.3500000000004</v>
      </c>
      <c r="K90" s="4">
        <f t="shared" si="26"/>
        <v>6430.67</v>
      </c>
      <c r="L90" s="4">
        <f t="shared" si="27"/>
        <v>11094.02</v>
      </c>
      <c r="M90" s="4">
        <f t="shared" si="28"/>
        <v>8.2670858574887846E-2</v>
      </c>
      <c r="N90" s="4">
        <f t="shared" si="29"/>
        <v>9720.3799999999992</v>
      </c>
      <c r="O90" s="4">
        <f t="shared" si="30"/>
        <v>7.2434713500982351E-2</v>
      </c>
      <c r="P90" s="4">
        <f t="shared" si="31"/>
        <v>95324.670000000013</v>
      </c>
      <c r="Q90" s="4">
        <f t="shared" si="21"/>
        <v>0.71034415949023488</v>
      </c>
      <c r="R90" s="4">
        <v>84</v>
      </c>
      <c r="S90" s="4">
        <f t="shared" si="34"/>
        <v>92077.063973575976</v>
      </c>
      <c r="T90" s="4">
        <f t="shared" si="35"/>
        <v>0.68614352000000001</v>
      </c>
      <c r="U90" s="11">
        <f t="shared" si="32"/>
        <v>27776.359999999942</v>
      </c>
      <c r="V90" s="11">
        <f t="shared" si="33"/>
        <v>0.20698498193487727</v>
      </c>
      <c r="X90" s="3">
        <v>42121</v>
      </c>
      <c r="AA90">
        <v>2606.8200000000002</v>
      </c>
      <c r="AB90">
        <v>2606.8200000000002</v>
      </c>
      <c r="AC90">
        <v>3748.11</v>
      </c>
      <c r="AD90">
        <v>3748.11</v>
      </c>
      <c r="AE90">
        <v>6354.93</v>
      </c>
      <c r="AH90">
        <v>55172.85</v>
      </c>
      <c r="AI90">
        <v>55172.85</v>
      </c>
      <c r="AL90">
        <v>18893.68</v>
      </c>
      <c r="AM90">
        <v>18893.68</v>
      </c>
      <c r="AP90">
        <v>6647.38</v>
      </c>
      <c r="AQ90">
        <v>6647.38</v>
      </c>
      <c r="AW90">
        <v>4890.38</v>
      </c>
      <c r="AX90">
        <v>4890.38</v>
      </c>
      <c r="AY90">
        <v>85604.290000000008</v>
      </c>
      <c r="BB90">
        <v>2056.5300000000002</v>
      </c>
      <c r="BC90">
        <v>2056.5300000000002</v>
      </c>
      <c r="BD90">
        <v>2682.56</v>
      </c>
      <c r="BE90">
        <v>2682.56</v>
      </c>
      <c r="BF90">
        <v>4739.09</v>
      </c>
      <c r="BG90">
        <v>2322.9299999999998</v>
      </c>
      <c r="BH90">
        <v>2322.9299999999998</v>
      </c>
      <c r="BI90">
        <v>3809.98</v>
      </c>
      <c r="BJ90">
        <v>3809.98</v>
      </c>
      <c r="BK90">
        <v>6132.91</v>
      </c>
      <c r="BL90">
        <v>894.36</v>
      </c>
      <c r="BM90">
        <v>894.36</v>
      </c>
      <c r="BN90">
        <v>1190.55</v>
      </c>
      <c r="BO90">
        <v>1190.55</v>
      </c>
      <c r="BP90">
        <v>2084.91</v>
      </c>
      <c r="BQ90">
        <v>1502.56</v>
      </c>
      <c r="BR90">
        <v>1502.56</v>
      </c>
      <c r="BS90">
        <v>1502.56</v>
      </c>
      <c r="BT90">
        <v>134195.04999999996</v>
      </c>
      <c r="BU90" s="1"/>
      <c r="BV90" s="1"/>
    </row>
    <row r="91" spans="4:74">
      <c r="D91" s="3">
        <v>42128</v>
      </c>
      <c r="E91" s="11">
        <f t="shared" si="22"/>
        <v>156522.89000000001</v>
      </c>
      <c r="F91" s="4">
        <f t="shared" si="23"/>
        <v>101286.04999999999</v>
      </c>
      <c r="G91" s="4">
        <f t="shared" si="24"/>
        <v>0.64710056145781603</v>
      </c>
      <c r="H91" s="4">
        <f t="shared" si="36"/>
        <v>2889.06</v>
      </c>
      <c r="I91" s="4">
        <f t="shared" si="37"/>
        <v>2295.35</v>
      </c>
      <c r="J91" s="4">
        <f t="shared" si="25"/>
        <v>5184.41</v>
      </c>
      <c r="K91" s="4">
        <f t="shared" si="26"/>
        <v>7303.0599999999995</v>
      </c>
      <c r="L91" s="4">
        <f t="shared" si="27"/>
        <v>12487.47</v>
      </c>
      <c r="M91" s="4">
        <f t="shared" si="28"/>
        <v>7.9780471725253724E-2</v>
      </c>
      <c r="N91" s="4">
        <f t="shared" si="29"/>
        <v>10843.1</v>
      </c>
      <c r="O91" s="4">
        <f t="shared" si="30"/>
        <v>6.9274851748520605E-2</v>
      </c>
      <c r="P91" s="4">
        <f t="shared" si="31"/>
        <v>112129.15</v>
      </c>
      <c r="Q91" s="4">
        <f t="shared" si="21"/>
        <v>0.71637541320633669</v>
      </c>
      <c r="R91" s="4">
        <v>85</v>
      </c>
      <c r="S91" s="4">
        <f t="shared" si="34"/>
        <v>107472.73282600701</v>
      </c>
      <c r="T91" s="4">
        <f t="shared" si="35"/>
        <v>0.68662630000000002</v>
      </c>
      <c r="U91" s="11">
        <f t="shared" si="32"/>
        <v>31906.270000000019</v>
      </c>
      <c r="V91" s="11">
        <f t="shared" si="33"/>
        <v>0.20384411506840958</v>
      </c>
      <c r="X91" s="3">
        <v>42128</v>
      </c>
      <c r="AA91">
        <v>2889.06</v>
      </c>
      <c r="AB91">
        <v>2889.06</v>
      </c>
      <c r="AC91">
        <v>4203.84</v>
      </c>
      <c r="AD91">
        <v>4203.84</v>
      </c>
      <c r="AE91">
        <v>7092.9</v>
      </c>
      <c r="AH91">
        <v>67162.37</v>
      </c>
      <c r="AI91">
        <v>67162.37</v>
      </c>
      <c r="AL91">
        <v>21463.45</v>
      </c>
      <c r="AM91">
        <v>21463.45</v>
      </c>
      <c r="AP91">
        <v>7451.26</v>
      </c>
      <c r="AQ91">
        <v>7451.26</v>
      </c>
      <c r="AW91">
        <v>5208.97</v>
      </c>
      <c r="AX91">
        <v>5208.97</v>
      </c>
      <c r="AY91">
        <v>101286.04999999999</v>
      </c>
      <c r="BB91">
        <v>2295.35</v>
      </c>
      <c r="BC91">
        <v>2295.35</v>
      </c>
      <c r="BD91">
        <v>3099.22</v>
      </c>
      <c r="BE91">
        <v>3099.22</v>
      </c>
      <c r="BF91">
        <v>5394.57</v>
      </c>
      <c r="BG91">
        <v>2691.1</v>
      </c>
      <c r="BH91">
        <v>2691.1</v>
      </c>
      <c r="BI91">
        <v>4222.7299999999996</v>
      </c>
      <c r="BJ91">
        <v>4222.7299999999996</v>
      </c>
      <c r="BK91">
        <v>6913.83</v>
      </c>
      <c r="BL91">
        <v>999.31</v>
      </c>
      <c r="BM91">
        <v>999.31</v>
      </c>
      <c r="BN91">
        <v>1318.31</v>
      </c>
      <c r="BO91">
        <v>1318.31</v>
      </c>
      <c r="BP91">
        <v>2317.62</v>
      </c>
      <c r="BQ91">
        <v>1611.65</v>
      </c>
      <c r="BR91">
        <v>1611.65</v>
      </c>
      <c r="BS91">
        <v>1611.65</v>
      </c>
      <c r="BT91">
        <v>156522.89000000001</v>
      </c>
      <c r="BU91" s="1"/>
      <c r="BV91" s="1"/>
    </row>
    <row r="92" spans="4:74">
      <c r="D92" s="3">
        <v>42135</v>
      </c>
      <c r="E92" s="11">
        <f t="shared" si="22"/>
        <v>144622.49000000005</v>
      </c>
      <c r="F92" s="4">
        <f t="shared" si="23"/>
        <v>91666.950000000012</v>
      </c>
      <c r="G92" s="4">
        <f t="shared" si="24"/>
        <v>0.63383606519290314</v>
      </c>
      <c r="H92" s="4">
        <f t="shared" si="36"/>
        <v>2966.1</v>
      </c>
      <c r="I92" s="4">
        <f t="shared" si="37"/>
        <v>2345.25</v>
      </c>
      <c r="J92" s="4">
        <f t="shared" si="25"/>
        <v>5311.35</v>
      </c>
      <c r="K92" s="4">
        <f t="shared" si="26"/>
        <v>7259.63</v>
      </c>
      <c r="L92" s="4">
        <f t="shared" si="27"/>
        <v>12570.98</v>
      </c>
      <c r="M92" s="4">
        <f t="shared" si="28"/>
        <v>8.6922718589619058E-2</v>
      </c>
      <c r="N92" s="4">
        <f t="shared" si="29"/>
        <v>10881.55</v>
      </c>
      <c r="O92" s="4">
        <f t="shared" si="30"/>
        <v>7.5241063820710011E-2</v>
      </c>
      <c r="P92" s="4">
        <f t="shared" si="31"/>
        <v>102548.50000000001</v>
      </c>
      <c r="Q92" s="4">
        <f t="shared" si="21"/>
        <v>0.70907712901361319</v>
      </c>
      <c r="R92" s="4">
        <v>86</v>
      </c>
      <c r="S92" s="4">
        <f t="shared" si="34"/>
        <v>99371.426051209244</v>
      </c>
      <c r="T92" s="4">
        <f t="shared" si="35"/>
        <v>0.68710908000000004</v>
      </c>
      <c r="U92" s="11">
        <f t="shared" si="32"/>
        <v>29503.010000000038</v>
      </c>
      <c r="V92" s="11">
        <f t="shared" si="33"/>
        <v>0.2040001523967678</v>
      </c>
      <c r="X92" s="3">
        <v>42135</v>
      </c>
      <c r="AA92">
        <v>2966.1</v>
      </c>
      <c r="AB92">
        <v>2966.1</v>
      </c>
      <c r="AC92">
        <v>4210</v>
      </c>
      <c r="AD92">
        <v>4210</v>
      </c>
      <c r="AE92">
        <v>7176.1</v>
      </c>
      <c r="AH92">
        <v>57849.05</v>
      </c>
      <c r="AI92">
        <v>57849.05</v>
      </c>
      <c r="AL92">
        <v>20607.71</v>
      </c>
      <c r="AM92">
        <v>20607.71</v>
      </c>
      <c r="AP92">
        <v>7800.77</v>
      </c>
      <c r="AQ92">
        <v>7800.77</v>
      </c>
      <c r="AW92">
        <v>5409.42</v>
      </c>
      <c r="AX92">
        <v>5409.42</v>
      </c>
      <c r="AY92">
        <v>91666.950000000012</v>
      </c>
      <c r="BB92">
        <v>2345.25</v>
      </c>
      <c r="BC92">
        <v>2345.25</v>
      </c>
      <c r="BD92">
        <v>3049.63</v>
      </c>
      <c r="BE92">
        <v>3049.63</v>
      </c>
      <c r="BF92">
        <v>5394.88</v>
      </c>
      <c r="BG92">
        <v>2858.17</v>
      </c>
      <c r="BH92">
        <v>2858.17</v>
      </c>
      <c r="BI92">
        <v>4192.92</v>
      </c>
      <c r="BJ92">
        <v>4192.92</v>
      </c>
      <c r="BK92">
        <v>7051.09</v>
      </c>
      <c r="BL92">
        <v>1027.42</v>
      </c>
      <c r="BM92">
        <v>1027.42</v>
      </c>
      <c r="BN92">
        <v>1261.95</v>
      </c>
      <c r="BO92">
        <v>1261.95</v>
      </c>
      <c r="BP92">
        <v>2289.37</v>
      </c>
      <c r="BQ92">
        <v>1541.09</v>
      </c>
      <c r="BR92">
        <v>1541.09</v>
      </c>
      <c r="BS92">
        <v>1541.09</v>
      </c>
      <c r="BT92">
        <v>144622.49000000005</v>
      </c>
      <c r="BU92" s="1"/>
      <c r="BV92" s="1"/>
    </row>
    <row r="93" spans="4:74">
      <c r="D93" s="3">
        <v>42142</v>
      </c>
      <c r="E93" s="11">
        <f t="shared" si="22"/>
        <v>147602.94999999998</v>
      </c>
      <c r="F93" s="4">
        <f t="shared" si="23"/>
        <v>92567.81</v>
      </c>
      <c r="G93" s="4">
        <f t="shared" si="24"/>
        <v>0.62714064996668428</v>
      </c>
      <c r="H93" s="4">
        <f t="shared" si="36"/>
        <v>3148.51</v>
      </c>
      <c r="I93" s="4">
        <f t="shared" si="37"/>
        <v>2535.4499999999998</v>
      </c>
      <c r="J93" s="4">
        <f t="shared" si="25"/>
        <v>5683.96</v>
      </c>
      <c r="K93" s="4">
        <f t="shared" si="26"/>
        <v>7401.8</v>
      </c>
      <c r="L93" s="4">
        <f t="shared" si="27"/>
        <v>13085.76</v>
      </c>
      <c r="M93" s="4">
        <f t="shared" si="28"/>
        <v>8.8655138667621494E-2</v>
      </c>
      <c r="N93" s="4">
        <f t="shared" si="29"/>
        <v>11545.29</v>
      </c>
      <c r="O93" s="4">
        <f t="shared" si="30"/>
        <v>7.8218558639918792E-2</v>
      </c>
      <c r="P93" s="4">
        <f t="shared" si="31"/>
        <v>104113.1</v>
      </c>
      <c r="Q93" s="4">
        <f t="shared" si="21"/>
        <v>0.70535920860660317</v>
      </c>
      <c r="R93" s="4">
        <v>87</v>
      </c>
      <c r="S93" s="4">
        <f t="shared" si="34"/>
        <v>101490.58693198698</v>
      </c>
      <c r="T93" s="4">
        <f t="shared" si="35"/>
        <v>0.68759185999999994</v>
      </c>
      <c r="U93" s="11">
        <f t="shared" si="32"/>
        <v>30404.089999999997</v>
      </c>
      <c r="V93" s="11">
        <f t="shared" si="33"/>
        <v>0.20598565272577546</v>
      </c>
      <c r="X93" s="3">
        <v>42142</v>
      </c>
      <c r="AA93">
        <v>3148.51</v>
      </c>
      <c r="AB93">
        <v>3148.51</v>
      </c>
      <c r="AC93">
        <v>4291.17</v>
      </c>
      <c r="AD93">
        <v>4291.17</v>
      </c>
      <c r="AE93">
        <v>7439.68</v>
      </c>
      <c r="AH93">
        <v>56380.17</v>
      </c>
      <c r="AI93">
        <v>56380.17</v>
      </c>
      <c r="AL93">
        <v>21892.87</v>
      </c>
      <c r="AM93">
        <v>21892.87</v>
      </c>
      <c r="AP93">
        <v>8503.06</v>
      </c>
      <c r="AQ93">
        <v>8503.06</v>
      </c>
      <c r="AW93">
        <v>5791.71</v>
      </c>
      <c r="AX93">
        <v>5791.71</v>
      </c>
      <c r="AY93">
        <v>92567.81</v>
      </c>
      <c r="BB93">
        <v>2535.4499999999998</v>
      </c>
      <c r="BC93">
        <v>2535.4499999999998</v>
      </c>
      <c r="BD93">
        <v>3110.63</v>
      </c>
      <c r="BE93">
        <v>3110.63</v>
      </c>
      <c r="BF93">
        <v>5646.08</v>
      </c>
      <c r="BG93">
        <v>3094.62</v>
      </c>
      <c r="BH93">
        <v>3094.62</v>
      </c>
      <c r="BI93">
        <v>4609.1499999999996</v>
      </c>
      <c r="BJ93">
        <v>4609.1499999999996</v>
      </c>
      <c r="BK93">
        <v>7703.7699999999995</v>
      </c>
      <c r="BL93">
        <v>1128.92</v>
      </c>
      <c r="BM93">
        <v>1128.92</v>
      </c>
      <c r="BN93">
        <v>1207.31</v>
      </c>
      <c r="BO93">
        <v>1207.31</v>
      </c>
      <c r="BP93">
        <v>2336.23</v>
      </c>
      <c r="BQ93">
        <v>1505.29</v>
      </c>
      <c r="BR93">
        <v>1505.29</v>
      </c>
      <c r="BS93">
        <v>1505.29</v>
      </c>
      <c r="BT93">
        <v>147602.94999999998</v>
      </c>
      <c r="BU93" s="1"/>
      <c r="BV93" s="1"/>
    </row>
    <row r="94" spans="4:74">
      <c r="D94" s="3">
        <v>42149</v>
      </c>
      <c r="E94" s="11">
        <f t="shared" si="22"/>
        <v>114241.27999999998</v>
      </c>
      <c r="F94" s="4">
        <f t="shared" si="23"/>
        <v>70763.28</v>
      </c>
      <c r="G94" s="4">
        <f t="shared" si="24"/>
        <v>0.61941953031338592</v>
      </c>
      <c r="H94" s="4">
        <f t="shared" si="36"/>
        <v>2634.63</v>
      </c>
      <c r="I94" s="4">
        <f t="shared" si="37"/>
        <v>2129.7399999999998</v>
      </c>
      <c r="J94" s="4">
        <f t="shared" si="25"/>
        <v>4764.37</v>
      </c>
      <c r="K94" s="4">
        <f t="shared" si="26"/>
        <v>6175.3600000000006</v>
      </c>
      <c r="L94" s="4">
        <f t="shared" si="27"/>
        <v>10939.73</v>
      </c>
      <c r="M94" s="4">
        <f t="shared" si="28"/>
        <v>9.5759868937042733E-2</v>
      </c>
      <c r="N94" s="4">
        <f t="shared" si="29"/>
        <v>9023.43</v>
      </c>
      <c r="O94" s="4">
        <f t="shared" si="30"/>
        <v>7.8985722148771462E-2</v>
      </c>
      <c r="P94" s="4">
        <f t="shared" si="31"/>
        <v>79786.709999999992</v>
      </c>
      <c r="Q94" s="4">
        <f t="shared" si="21"/>
        <v>0.69840525246215734</v>
      </c>
      <c r="R94" s="4">
        <v>88</v>
      </c>
      <c r="S94" s="4">
        <f t="shared" si="34"/>
        <v>78606.527609139186</v>
      </c>
      <c r="T94" s="4">
        <f t="shared" si="35"/>
        <v>0.68807463999999996</v>
      </c>
      <c r="U94" s="11">
        <f t="shared" si="32"/>
        <v>23514.839999999982</v>
      </c>
      <c r="V94" s="11">
        <f t="shared" si="33"/>
        <v>0.20583487860079985</v>
      </c>
      <c r="X94" s="3">
        <v>42149</v>
      </c>
      <c r="AA94">
        <v>2634.63</v>
      </c>
      <c r="AB94">
        <v>2634.63</v>
      </c>
      <c r="AC94">
        <v>3559.58</v>
      </c>
      <c r="AD94">
        <v>3559.58</v>
      </c>
      <c r="AE94">
        <v>6194.21</v>
      </c>
      <c r="AH94">
        <v>40914.129999999997</v>
      </c>
      <c r="AI94">
        <v>40914.129999999997</v>
      </c>
      <c r="AL94">
        <v>18181.669999999998</v>
      </c>
      <c r="AM94">
        <v>18181.669999999998</v>
      </c>
      <c r="AP94">
        <v>7007.53</v>
      </c>
      <c r="AQ94">
        <v>7007.53</v>
      </c>
      <c r="AW94">
        <v>4659.95</v>
      </c>
      <c r="AX94">
        <v>4659.95</v>
      </c>
      <c r="AY94">
        <v>70763.28</v>
      </c>
      <c r="BB94">
        <v>2129.7399999999998</v>
      </c>
      <c r="BC94">
        <v>2129.7399999999998</v>
      </c>
      <c r="BD94">
        <v>2615.7800000000002</v>
      </c>
      <c r="BE94">
        <v>2615.7800000000002</v>
      </c>
      <c r="BF94">
        <v>4745.5200000000004</v>
      </c>
      <c r="BG94">
        <v>2353.52</v>
      </c>
      <c r="BH94">
        <v>2353.52</v>
      </c>
      <c r="BI94">
        <v>3588.93</v>
      </c>
      <c r="BJ94">
        <v>3588.93</v>
      </c>
      <c r="BK94">
        <v>5942.45</v>
      </c>
      <c r="BL94">
        <v>901.57</v>
      </c>
      <c r="BM94">
        <v>901.57</v>
      </c>
      <c r="BN94">
        <v>961.19</v>
      </c>
      <c r="BO94">
        <v>961.19</v>
      </c>
      <c r="BP94">
        <v>1862.7600000000002</v>
      </c>
      <c r="BQ94">
        <v>1218.22</v>
      </c>
      <c r="BR94">
        <v>1218.22</v>
      </c>
      <c r="BS94">
        <v>1218.22</v>
      </c>
      <c r="BT94">
        <v>114241.27999999998</v>
      </c>
      <c r="BU94" s="1"/>
      <c r="BV94" s="1"/>
    </row>
    <row r="95" spans="4:74">
      <c r="D95" s="3">
        <v>42156</v>
      </c>
      <c r="E95" s="11">
        <f t="shared" si="22"/>
        <v>121653.60000000002</v>
      </c>
      <c r="F95" s="4">
        <f t="shared" si="23"/>
        <v>74826.000000000015</v>
      </c>
      <c r="G95" s="4">
        <f t="shared" si="24"/>
        <v>0.61507427647024016</v>
      </c>
      <c r="H95" s="4">
        <f t="shared" si="36"/>
        <v>2767.16</v>
      </c>
      <c r="I95" s="4">
        <f t="shared" si="37"/>
        <v>2208.89</v>
      </c>
      <c r="J95" s="4">
        <f t="shared" si="25"/>
        <v>4976.0499999999993</v>
      </c>
      <c r="K95" s="4">
        <f t="shared" si="26"/>
        <v>6460.77</v>
      </c>
      <c r="L95" s="4">
        <f t="shared" si="27"/>
        <v>11436.82</v>
      </c>
      <c r="M95" s="4">
        <f t="shared" si="28"/>
        <v>9.4011356836131418E-2</v>
      </c>
      <c r="N95" s="4">
        <f t="shared" si="29"/>
        <v>9668.07</v>
      </c>
      <c r="O95" s="4">
        <f t="shared" si="30"/>
        <v>7.9472124129495531E-2</v>
      </c>
      <c r="P95" s="4">
        <f t="shared" si="31"/>
        <v>84494.07</v>
      </c>
      <c r="Q95" s="4">
        <f t="shared" si="21"/>
        <v>0.6945464005997356</v>
      </c>
      <c r="R95" s="4">
        <v>89</v>
      </c>
      <c r="S95" s="4">
        <f t="shared" si="34"/>
        <v>83765.488949712017</v>
      </c>
      <c r="T95" s="4">
        <f t="shared" si="35"/>
        <v>0.68855741999999998</v>
      </c>
      <c r="U95" s="11">
        <f t="shared" si="32"/>
        <v>25722.710000000006</v>
      </c>
      <c r="V95" s="11">
        <f t="shared" si="33"/>
        <v>0.21144224256413294</v>
      </c>
      <c r="X95" s="3">
        <v>42156</v>
      </c>
      <c r="AA95">
        <v>2767.16</v>
      </c>
      <c r="AB95">
        <v>2767.16</v>
      </c>
      <c r="AC95">
        <v>3791.75</v>
      </c>
      <c r="AD95">
        <v>3791.75</v>
      </c>
      <c r="AE95">
        <v>6558.91</v>
      </c>
      <c r="AH95">
        <v>43185.19</v>
      </c>
      <c r="AI95">
        <v>43185.19</v>
      </c>
      <c r="AL95">
        <v>19249.13</v>
      </c>
      <c r="AM95">
        <v>19249.13</v>
      </c>
      <c r="AP95">
        <v>7388.94</v>
      </c>
      <c r="AQ95">
        <v>7388.94</v>
      </c>
      <c r="AW95">
        <v>5002.74</v>
      </c>
      <c r="AX95">
        <v>5002.74</v>
      </c>
      <c r="AY95">
        <v>74826.000000000015</v>
      </c>
      <c r="BB95">
        <v>2208.89</v>
      </c>
      <c r="BC95">
        <v>2208.89</v>
      </c>
      <c r="BD95">
        <v>2669.02</v>
      </c>
      <c r="BE95">
        <v>2669.02</v>
      </c>
      <c r="BF95">
        <v>4877.91</v>
      </c>
      <c r="BG95">
        <v>2684.54</v>
      </c>
      <c r="BH95">
        <v>2684.54</v>
      </c>
      <c r="BI95">
        <v>3756.82</v>
      </c>
      <c r="BJ95">
        <v>3756.82</v>
      </c>
      <c r="BK95">
        <v>6441.3600000000006</v>
      </c>
      <c r="BL95">
        <v>949.99</v>
      </c>
      <c r="BM95">
        <v>949.99</v>
      </c>
      <c r="BN95">
        <v>979.35</v>
      </c>
      <c r="BO95">
        <v>979.35</v>
      </c>
      <c r="BP95">
        <v>1929.3400000000001</v>
      </c>
      <c r="BQ95">
        <v>1297.3699999999999</v>
      </c>
      <c r="BR95">
        <v>1297.3699999999999</v>
      </c>
      <c r="BS95">
        <v>1297.3699999999999</v>
      </c>
      <c r="BT95">
        <v>121653.60000000002</v>
      </c>
      <c r="BU95" s="1"/>
      <c r="BV95" s="1"/>
    </row>
    <row r="96" spans="4:74">
      <c r="D96" s="3">
        <v>42163</v>
      </c>
      <c r="E96" s="11">
        <f t="shared" si="22"/>
        <v>132159.30000000002</v>
      </c>
      <c r="F96" s="4">
        <f t="shared" si="23"/>
        <v>82567.64</v>
      </c>
      <c r="G96" s="4">
        <f t="shared" si="24"/>
        <v>0.6247584543804332</v>
      </c>
      <c r="H96" s="4">
        <f t="shared" si="36"/>
        <v>3051.84</v>
      </c>
      <c r="I96" s="4">
        <f t="shared" si="37"/>
        <v>2474.64</v>
      </c>
      <c r="J96" s="4">
        <f t="shared" si="25"/>
        <v>5526.48</v>
      </c>
      <c r="K96" s="4">
        <f t="shared" si="26"/>
        <v>6743.55</v>
      </c>
      <c r="L96" s="4">
        <f t="shared" si="27"/>
        <v>12270.029999999999</v>
      </c>
      <c r="M96" s="4">
        <f t="shared" si="28"/>
        <v>9.2842728434548286E-2</v>
      </c>
      <c r="N96" s="4">
        <f t="shared" si="29"/>
        <v>10100.43</v>
      </c>
      <c r="O96" s="4">
        <f t="shared" si="30"/>
        <v>7.6426176591431694E-2</v>
      </c>
      <c r="P96" s="4">
        <f t="shared" si="31"/>
        <v>92668.07</v>
      </c>
      <c r="Q96" s="4">
        <f t="shared" si="21"/>
        <v>0.70118463097186501</v>
      </c>
      <c r="R96" s="4">
        <v>90</v>
      </c>
      <c r="S96" s="4">
        <f t="shared" si="34"/>
        <v>91063.070503860014</v>
      </c>
      <c r="T96" s="4">
        <f t="shared" si="35"/>
        <v>0.68904019999999999</v>
      </c>
      <c r="U96" s="11">
        <f t="shared" si="32"/>
        <v>27221.200000000012</v>
      </c>
      <c r="V96" s="11">
        <f t="shared" si="33"/>
        <v>0.20597264059358675</v>
      </c>
      <c r="X96" s="3">
        <v>42163</v>
      </c>
      <c r="AA96">
        <v>3051.84</v>
      </c>
      <c r="AB96">
        <v>3051.84</v>
      </c>
      <c r="AC96">
        <v>3930.27</v>
      </c>
      <c r="AD96">
        <v>3930.27</v>
      </c>
      <c r="AE96">
        <v>6982.1100000000006</v>
      </c>
      <c r="AH96">
        <v>48159.7</v>
      </c>
      <c r="AI96">
        <v>48159.7</v>
      </c>
      <c r="AL96">
        <v>21121.3</v>
      </c>
      <c r="AM96">
        <v>21121.3</v>
      </c>
      <c r="AP96">
        <v>7852.48</v>
      </c>
      <c r="AQ96">
        <v>7852.48</v>
      </c>
      <c r="AW96">
        <v>5434.16</v>
      </c>
      <c r="AX96">
        <v>5434.16</v>
      </c>
      <c r="AY96">
        <v>82567.64</v>
      </c>
      <c r="BB96">
        <v>2474.64</v>
      </c>
      <c r="BC96">
        <v>2474.64</v>
      </c>
      <c r="BD96">
        <v>2813.28</v>
      </c>
      <c r="BE96">
        <v>2813.28</v>
      </c>
      <c r="BF96">
        <v>5287.92</v>
      </c>
      <c r="BG96">
        <v>2884.57</v>
      </c>
      <c r="BH96">
        <v>2884.57</v>
      </c>
      <c r="BI96">
        <v>3892.28</v>
      </c>
      <c r="BJ96">
        <v>3892.28</v>
      </c>
      <c r="BK96">
        <v>6776.85</v>
      </c>
      <c r="BL96">
        <v>1006.55</v>
      </c>
      <c r="BM96">
        <v>1006.55</v>
      </c>
      <c r="BN96">
        <v>1009.24</v>
      </c>
      <c r="BO96">
        <v>1009.24</v>
      </c>
      <c r="BP96">
        <v>2015.79</v>
      </c>
      <c r="BQ96">
        <v>1307.79</v>
      </c>
      <c r="BR96">
        <v>1307.79</v>
      </c>
      <c r="BS96">
        <v>1307.79</v>
      </c>
      <c r="BT96">
        <v>132159.30000000002</v>
      </c>
      <c r="BU96" s="1"/>
      <c r="BV96" s="1"/>
    </row>
    <row r="97" spans="4:74">
      <c r="D97" s="3">
        <v>42170</v>
      </c>
      <c r="E97" s="11">
        <f t="shared" si="22"/>
        <v>136529.44</v>
      </c>
      <c r="F97" s="4">
        <f t="shared" si="23"/>
        <v>85169.99</v>
      </c>
      <c r="G97" s="4">
        <f t="shared" si="24"/>
        <v>0.62382142635317339</v>
      </c>
      <c r="H97" s="4">
        <f t="shared" si="36"/>
        <v>3391.77</v>
      </c>
      <c r="I97" s="4">
        <f t="shared" si="37"/>
        <v>2574.89</v>
      </c>
      <c r="J97" s="4">
        <f t="shared" si="25"/>
        <v>5966.66</v>
      </c>
      <c r="K97" s="4">
        <f t="shared" si="26"/>
        <v>6745.25</v>
      </c>
      <c r="L97" s="4">
        <f t="shared" si="27"/>
        <v>12711.91</v>
      </c>
      <c r="M97" s="4">
        <f t="shared" si="28"/>
        <v>9.3107464587857389E-2</v>
      </c>
      <c r="N97" s="4">
        <f t="shared" si="29"/>
        <v>10499.51</v>
      </c>
      <c r="O97" s="4">
        <f t="shared" si="30"/>
        <v>7.6902900942097174E-2</v>
      </c>
      <c r="P97" s="4">
        <f t="shared" si="31"/>
        <v>95669.5</v>
      </c>
      <c r="Q97" s="4">
        <f t="shared" si="21"/>
        <v>0.70072432729527057</v>
      </c>
      <c r="R97" s="4">
        <v>91</v>
      </c>
      <c r="S97" s="4">
        <f t="shared" si="34"/>
        <v>94140.186326531199</v>
      </c>
      <c r="T97" s="4">
        <f t="shared" si="35"/>
        <v>0.68952298000000001</v>
      </c>
      <c r="U97" s="11">
        <f t="shared" si="32"/>
        <v>28148.03</v>
      </c>
      <c r="V97" s="11">
        <f t="shared" si="33"/>
        <v>0.20616820811687206</v>
      </c>
      <c r="X97" s="3">
        <v>42170</v>
      </c>
      <c r="AA97">
        <v>3391.77</v>
      </c>
      <c r="AB97">
        <v>3391.77</v>
      </c>
      <c r="AC97">
        <v>3969.13</v>
      </c>
      <c r="AD97">
        <v>3969.13</v>
      </c>
      <c r="AE97">
        <v>7360.9</v>
      </c>
      <c r="AH97">
        <v>50948.33</v>
      </c>
      <c r="AI97">
        <v>50948.33</v>
      </c>
      <c r="AL97">
        <v>21133.1</v>
      </c>
      <c r="AM97">
        <v>21133.1</v>
      </c>
      <c r="AP97">
        <v>7679.6</v>
      </c>
      <c r="AQ97">
        <v>7679.6</v>
      </c>
      <c r="AW97">
        <v>5408.96</v>
      </c>
      <c r="AX97">
        <v>5408.96</v>
      </c>
      <c r="AY97">
        <v>85169.99</v>
      </c>
      <c r="BB97">
        <v>2574.89</v>
      </c>
      <c r="BC97">
        <v>2574.89</v>
      </c>
      <c r="BD97">
        <v>2776.12</v>
      </c>
      <c r="BE97">
        <v>2776.12</v>
      </c>
      <c r="BF97">
        <v>5351.01</v>
      </c>
      <c r="BG97">
        <v>3128.51</v>
      </c>
      <c r="BH97">
        <v>3128.51</v>
      </c>
      <c r="BI97">
        <v>3948.56</v>
      </c>
      <c r="BJ97">
        <v>3948.56</v>
      </c>
      <c r="BK97">
        <v>7077.07</v>
      </c>
      <c r="BL97">
        <v>1197.18</v>
      </c>
      <c r="BM97">
        <v>1197.18</v>
      </c>
      <c r="BN97">
        <v>994.75</v>
      </c>
      <c r="BO97">
        <v>994.75</v>
      </c>
      <c r="BP97">
        <v>2191.9300000000003</v>
      </c>
      <c r="BQ97">
        <v>1230.51</v>
      </c>
      <c r="BR97">
        <v>1230.51</v>
      </c>
      <c r="BS97">
        <v>1230.51</v>
      </c>
      <c r="BT97">
        <v>136529.44</v>
      </c>
      <c r="BU97" s="1"/>
      <c r="BV97" s="1"/>
    </row>
    <row r="98" spans="4:74">
      <c r="D98" s="3">
        <v>42177</v>
      </c>
      <c r="E98" s="11">
        <f t="shared" si="22"/>
        <v>137678.82000000004</v>
      </c>
      <c r="F98" s="4">
        <f t="shared" si="23"/>
        <v>85749.180000000008</v>
      </c>
      <c r="G98" s="4">
        <f t="shared" si="24"/>
        <v>0.62282041638648544</v>
      </c>
      <c r="H98" s="4">
        <f t="shared" si="36"/>
        <v>3230.92</v>
      </c>
      <c r="I98" s="4">
        <f t="shared" si="37"/>
        <v>2646.79</v>
      </c>
      <c r="J98" s="4">
        <f t="shared" si="25"/>
        <v>5877.71</v>
      </c>
      <c r="K98" s="4">
        <f t="shared" si="26"/>
        <v>7142.04</v>
      </c>
      <c r="L98" s="4">
        <f t="shared" si="27"/>
        <v>13019.75</v>
      </c>
      <c r="M98" s="4">
        <f t="shared" si="28"/>
        <v>9.4566106827469881E-2</v>
      </c>
      <c r="N98" s="4">
        <f t="shared" si="29"/>
        <v>10621.65</v>
      </c>
      <c r="O98" s="4">
        <f t="shared" si="30"/>
        <v>7.7148031919506546E-2</v>
      </c>
      <c r="P98" s="4">
        <f t="shared" si="31"/>
        <v>96370.83</v>
      </c>
      <c r="Q98" s="4">
        <f t="shared" si="21"/>
        <v>0.69996844830599203</v>
      </c>
      <c r="R98" s="4">
        <v>92</v>
      </c>
      <c r="S98" s="4">
        <f t="shared" si="34"/>
        <v>94999.178830003235</v>
      </c>
      <c r="T98" s="4">
        <f t="shared" si="35"/>
        <v>0.69000576000000002</v>
      </c>
      <c r="U98" s="11">
        <f t="shared" si="32"/>
        <v>28288.240000000034</v>
      </c>
      <c r="V98" s="11">
        <f t="shared" si="33"/>
        <v>0.20546544486653812</v>
      </c>
      <c r="X98" s="3">
        <v>42177</v>
      </c>
      <c r="AA98">
        <v>3230.92</v>
      </c>
      <c r="AB98">
        <v>3230.92</v>
      </c>
      <c r="AC98">
        <v>4071.45</v>
      </c>
      <c r="AD98">
        <v>4071.45</v>
      </c>
      <c r="AE98">
        <v>7302.37</v>
      </c>
      <c r="AH98">
        <v>50054.41</v>
      </c>
      <c r="AI98">
        <v>50054.41</v>
      </c>
      <c r="AL98">
        <v>22076.73</v>
      </c>
      <c r="AM98">
        <v>22076.73</v>
      </c>
      <c r="AP98">
        <v>8017.08</v>
      </c>
      <c r="AQ98">
        <v>8017.08</v>
      </c>
      <c r="AW98">
        <v>5600.96</v>
      </c>
      <c r="AX98">
        <v>5600.96</v>
      </c>
      <c r="AY98">
        <v>85749.180000000008</v>
      </c>
      <c r="BB98">
        <v>2646.79</v>
      </c>
      <c r="BC98">
        <v>2646.79</v>
      </c>
      <c r="BD98">
        <v>3070.59</v>
      </c>
      <c r="BE98">
        <v>3070.59</v>
      </c>
      <c r="BF98">
        <v>5717.38</v>
      </c>
      <c r="BG98">
        <v>2943.8</v>
      </c>
      <c r="BH98">
        <v>2943.8</v>
      </c>
      <c r="BI98">
        <v>4176.88</v>
      </c>
      <c r="BJ98">
        <v>4176.88</v>
      </c>
      <c r="BK98">
        <v>7120.68</v>
      </c>
      <c r="BL98">
        <v>1120.82</v>
      </c>
      <c r="BM98">
        <v>1120.82</v>
      </c>
      <c r="BN98">
        <v>1061.01</v>
      </c>
      <c r="BO98">
        <v>1061.01</v>
      </c>
      <c r="BP98">
        <v>2181.83</v>
      </c>
      <c r="BQ98">
        <v>1319.14</v>
      </c>
      <c r="BR98">
        <v>1319.14</v>
      </c>
      <c r="BS98">
        <v>1319.14</v>
      </c>
      <c r="BT98">
        <v>137678.82000000004</v>
      </c>
      <c r="BU98" s="1"/>
      <c r="BV98" s="1"/>
    </row>
    <row r="99" spans="4:74">
      <c r="D99" s="3">
        <v>42184</v>
      </c>
      <c r="E99" s="11">
        <f t="shared" si="22"/>
        <v>130313.77999999998</v>
      </c>
      <c r="F99" s="4">
        <f t="shared" si="23"/>
        <v>80152.069999999992</v>
      </c>
      <c r="G99" s="4">
        <f t="shared" si="24"/>
        <v>0.61506979538157824</v>
      </c>
      <c r="H99" s="4">
        <f t="shared" si="36"/>
        <v>3122.54</v>
      </c>
      <c r="I99" s="4">
        <f t="shared" si="37"/>
        <v>2562.5300000000002</v>
      </c>
      <c r="J99" s="4">
        <f t="shared" si="25"/>
        <v>5685.07</v>
      </c>
      <c r="K99" s="4">
        <f t="shared" si="26"/>
        <v>6647.07</v>
      </c>
      <c r="L99" s="4">
        <f t="shared" si="27"/>
        <v>12332.14</v>
      </c>
      <c r="M99" s="4">
        <f t="shared" si="28"/>
        <v>9.4634197549944454E-2</v>
      </c>
      <c r="N99" s="4">
        <f t="shared" si="29"/>
        <v>10081.74</v>
      </c>
      <c r="O99" s="4">
        <f t="shared" si="30"/>
        <v>7.736511058155171E-2</v>
      </c>
      <c r="P99" s="4">
        <f t="shared" si="31"/>
        <v>90233.81</v>
      </c>
      <c r="Q99" s="4">
        <f t="shared" si="21"/>
        <v>0.69243490596312995</v>
      </c>
      <c r="R99" s="4">
        <v>93</v>
      </c>
      <c r="S99" s="4">
        <f t="shared" si="34"/>
        <v>89980.171694081189</v>
      </c>
      <c r="T99" s="4">
        <f t="shared" si="35"/>
        <v>0.69048854000000004</v>
      </c>
      <c r="U99" s="11">
        <f t="shared" si="32"/>
        <v>27747.829999999987</v>
      </c>
      <c r="V99" s="11">
        <f t="shared" si="33"/>
        <v>0.21293089648692556</v>
      </c>
      <c r="X99" s="3">
        <v>42184</v>
      </c>
      <c r="AA99">
        <v>3122.54</v>
      </c>
      <c r="AB99">
        <v>3122.54</v>
      </c>
      <c r="AC99">
        <v>3893.01</v>
      </c>
      <c r="AD99">
        <v>3893.01</v>
      </c>
      <c r="AE99">
        <v>7015.55</v>
      </c>
      <c r="AH99">
        <v>46160.77</v>
      </c>
      <c r="AI99">
        <v>46160.77</v>
      </c>
      <c r="AL99">
        <v>21161.68</v>
      </c>
      <c r="AM99">
        <v>21161.68</v>
      </c>
      <c r="AP99">
        <v>7411.4</v>
      </c>
      <c r="AQ99">
        <v>7411.4</v>
      </c>
      <c r="AW99">
        <v>5418.22</v>
      </c>
      <c r="AX99">
        <v>5418.22</v>
      </c>
      <c r="AY99">
        <v>80152.069999999992</v>
      </c>
      <c r="BB99">
        <v>2562.5300000000002</v>
      </c>
      <c r="BC99">
        <v>2562.5300000000002</v>
      </c>
      <c r="BD99">
        <v>2754.06</v>
      </c>
      <c r="BE99">
        <v>2754.06</v>
      </c>
      <c r="BF99">
        <v>5316.59</v>
      </c>
      <c r="BG99">
        <v>2901.14</v>
      </c>
      <c r="BH99">
        <v>2901.14</v>
      </c>
      <c r="BI99">
        <v>3909.28</v>
      </c>
      <c r="BJ99">
        <v>3909.28</v>
      </c>
      <c r="BK99">
        <v>6810.42</v>
      </c>
      <c r="BL99">
        <v>971.07</v>
      </c>
      <c r="BM99">
        <v>971.07</v>
      </c>
      <c r="BN99">
        <v>1034.81</v>
      </c>
      <c r="BO99">
        <v>1034.81</v>
      </c>
      <c r="BP99">
        <v>2005.88</v>
      </c>
      <c r="BQ99">
        <v>1265.44</v>
      </c>
      <c r="BR99">
        <v>1265.44</v>
      </c>
      <c r="BS99">
        <v>1265.44</v>
      </c>
      <c r="BT99">
        <v>130313.77999999998</v>
      </c>
      <c r="BU99" s="1"/>
      <c r="BV99" s="1"/>
    </row>
    <row r="100" spans="4:74">
      <c r="D100" s="3">
        <v>42191</v>
      </c>
      <c r="E100" s="11">
        <f t="shared" si="22"/>
        <v>131237.20000000001</v>
      </c>
      <c r="F100" s="4">
        <f t="shared" si="23"/>
        <v>81829.62000000001</v>
      </c>
      <c r="G100" s="4">
        <f t="shared" si="24"/>
        <v>0.62352457992093702</v>
      </c>
      <c r="H100" s="4">
        <f t="shared" si="36"/>
        <v>2894.93</v>
      </c>
      <c r="I100" s="4">
        <f t="shared" si="37"/>
        <v>2327.62</v>
      </c>
      <c r="J100" s="4">
        <f t="shared" si="25"/>
        <v>5222.5499999999993</v>
      </c>
      <c r="K100" s="4">
        <f t="shared" si="26"/>
        <v>6949.13</v>
      </c>
      <c r="L100" s="4">
        <f t="shared" si="27"/>
        <v>12171.68</v>
      </c>
      <c r="M100" s="4">
        <f t="shared" si="28"/>
        <v>9.2745654433346633E-2</v>
      </c>
      <c r="N100" s="4">
        <f t="shared" si="29"/>
        <v>9708.75</v>
      </c>
      <c r="O100" s="4">
        <f t="shared" si="30"/>
        <v>7.3978643250541765E-2</v>
      </c>
      <c r="P100" s="4">
        <f t="shared" si="31"/>
        <v>91538.37000000001</v>
      </c>
      <c r="Q100" s="4">
        <f t="shared" ref="Q100:Q103" si="38">P100/E100</f>
        <v>0.69750322317147884</v>
      </c>
      <c r="R100" s="4">
        <v>94</v>
      </c>
      <c r="S100" s="4">
        <f t="shared" si="34"/>
        <v>90681.141317104004</v>
      </c>
      <c r="T100" s="4">
        <f t="shared" si="35"/>
        <v>0.69097131999999994</v>
      </c>
      <c r="U100" s="11">
        <f t="shared" si="32"/>
        <v>27527.149999999994</v>
      </c>
      <c r="V100" s="11">
        <f t="shared" si="33"/>
        <v>0.20975112239517449</v>
      </c>
      <c r="X100" s="3">
        <v>42191</v>
      </c>
      <c r="AA100">
        <v>2894.93</v>
      </c>
      <c r="AB100">
        <v>2894.93</v>
      </c>
      <c r="AC100">
        <v>4028.42</v>
      </c>
      <c r="AD100">
        <v>4028.42</v>
      </c>
      <c r="AE100">
        <v>6923.35</v>
      </c>
      <c r="AH100">
        <v>47078.87</v>
      </c>
      <c r="AI100">
        <v>47078.87</v>
      </c>
      <c r="AL100">
        <v>21690.95</v>
      </c>
      <c r="AM100">
        <v>21690.95</v>
      </c>
      <c r="AP100">
        <v>7571.11</v>
      </c>
      <c r="AQ100">
        <v>7571.11</v>
      </c>
      <c r="AW100">
        <v>5488.69</v>
      </c>
      <c r="AX100">
        <v>5488.69</v>
      </c>
      <c r="AY100">
        <v>81829.62000000001</v>
      </c>
      <c r="BB100">
        <v>2327.62</v>
      </c>
      <c r="BC100">
        <v>2327.62</v>
      </c>
      <c r="BD100">
        <v>2920.71</v>
      </c>
      <c r="BE100">
        <v>2920.71</v>
      </c>
      <c r="BF100">
        <v>5248.33</v>
      </c>
      <c r="BG100">
        <v>2519.0300000000002</v>
      </c>
      <c r="BH100">
        <v>2519.0300000000002</v>
      </c>
      <c r="BI100">
        <v>3962.68</v>
      </c>
      <c r="BJ100">
        <v>3962.68</v>
      </c>
      <c r="BK100">
        <v>6481.71</v>
      </c>
      <c r="BL100">
        <v>911.47</v>
      </c>
      <c r="BM100">
        <v>911.47</v>
      </c>
      <c r="BN100">
        <v>996.71</v>
      </c>
      <c r="BO100">
        <v>996.71</v>
      </c>
      <c r="BP100">
        <v>1908.18</v>
      </c>
      <c r="BQ100">
        <v>1318.86</v>
      </c>
      <c r="BR100">
        <v>1318.86</v>
      </c>
      <c r="BS100">
        <v>1318.86</v>
      </c>
      <c r="BT100">
        <v>131237.20000000001</v>
      </c>
      <c r="BU100" s="1"/>
      <c r="BV100" s="1"/>
    </row>
    <row r="101" spans="4:74">
      <c r="D101" s="3">
        <v>42198</v>
      </c>
      <c r="E101" s="11">
        <f t="shared" si="22"/>
        <v>135217.48000000001</v>
      </c>
      <c r="F101" s="4">
        <f t="shared" si="23"/>
        <v>84077.26</v>
      </c>
      <c r="G101" s="4">
        <f t="shared" si="24"/>
        <v>0.62179283329344692</v>
      </c>
      <c r="H101" s="4">
        <f t="shared" si="36"/>
        <v>3208.72</v>
      </c>
      <c r="I101" s="4">
        <f t="shared" si="37"/>
        <v>2627.12</v>
      </c>
      <c r="J101" s="4">
        <f t="shared" si="25"/>
        <v>5835.84</v>
      </c>
      <c r="K101" s="4">
        <f t="shared" si="26"/>
        <v>7220.2099999999991</v>
      </c>
      <c r="L101" s="4">
        <f t="shared" si="27"/>
        <v>13056.05</v>
      </c>
      <c r="M101" s="4">
        <f t="shared" si="28"/>
        <v>9.6555933448841072E-2</v>
      </c>
      <c r="N101" s="4">
        <f t="shared" si="29"/>
        <v>10234.650000000001</v>
      </c>
      <c r="O101" s="4">
        <f t="shared" si="30"/>
        <v>7.5690287971643913E-2</v>
      </c>
      <c r="P101" s="4">
        <f t="shared" si="31"/>
        <v>94311.91</v>
      </c>
      <c r="Q101" s="4">
        <f t="shared" si="38"/>
        <v>0.69748312126509082</v>
      </c>
      <c r="R101" s="4">
        <v>95</v>
      </c>
      <c r="S101" s="4">
        <f t="shared" si="34"/>
        <v>93496.680937668003</v>
      </c>
      <c r="T101" s="4">
        <f t="shared" si="35"/>
        <v>0.69145409999999996</v>
      </c>
      <c r="U101" s="11">
        <f t="shared" si="32"/>
        <v>27849.520000000019</v>
      </c>
      <c r="V101" s="11">
        <f t="shared" si="33"/>
        <v>0.20596094528606818</v>
      </c>
      <c r="X101" s="3">
        <v>42198</v>
      </c>
      <c r="AA101">
        <v>3208.72</v>
      </c>
      <c r="AB101">
        <v>3208.72</v>
      </c>
      <c r="AC101">
        <v>4107.74</v>
      </c>
      <c r="AD101">
        <v>4107.74</v>
      </c>
      <c r="AE101">
        <v>7316.4599999999991</v>
      </c>
      <c r="AH101">
        <v>48240.05</v>
      </c>
      <c r="AI101">
        <v>48240.05</v>
      </c>
      <c r="AL101">
        <v>23411.32</v>
      </c>
      <c r="AM101">
        <v>23411.32</v>
      </c>
      <c r="AP101">
        <v>7187.52</v>
      </c>
      <c r="AQ101">
        <v>7187.52</v>
      </c>
      <c r="AW101">
        <v>5238.37</v>
      </c>
      <c r="AX101">
        <v>5238.37</v>
      </c>
      <c r="AY101">
        <v>84077.26</v>
      </c>
      <c r="BB101">
        <v>2627.12</v>
      </c>
      <c r="BC101">
        <v>2627.12</v>
      </c>
      <c r="BD101">
        <v>3112.47</v>
      </c>
      <c r="BE101">
        <v>3112.47</v>
      </c>
      <c r="BF101">
        <v>5739.59</v>
      </c>
      <c r="BG101">
        <v>2886.46</v>
      </c>
      <c r="BH101">
        <v>2886.46</v>
      </c>
      <c r="BI101">
        <v>4011.9</v>
      </c>
      <c r="BJ101">
        <v>4011.9</v>
      </c>
      <c r="BK101">
        <v>6898.3600000000006</v>
      </c>
      <c r="BL101">
        <v>999.33</v>
      </c>
      <c r="BM101">
        <v>999.33</v>
      </c>
      <c r="BN101">
        <v>1009.76</v>
      </c>
      <c r="BO101">
        <v>1009.76</v>
      </c>
      <c r="BP101">
        <v>2009.0900000000001</v>
      </c>
      <c r="BQ101">
        <v>1327.2</v>
      </c>
      <c r="BR101">
        <v>1327.2</v>
      </c>
      <c r="BS101">
        <v>1327.2</v>
      </c>
      <c r="BT101">
        <v>135217.48000000001</v>
      </c>
      <c r="BU101" s="1"/>
      <c r="BV101" s="1"/>
    </row>
    <row r="102" spans="4:74">
      <c r="D102" s="3">
        <v>42205</v>
      </c>
      <c r="E102" s="11">
        <f t="shared" si="22"/>
        <v>135885.08000000002</v>
      </c>
      <c r="F102" s="4">
        <f t="shared" si="23"/>
        <v>83223.200000000012</v>
      </c>
      <c r="G102" s="4">
        <f t="shared" si="24"/>
        <v>0.61245281674779894</v>
      </c>
      <c r="H102" s="4">
        <f t="shared" si="36"/>
        <v>3304.72</v>
      </c>
      <c r="I102" s="4">
        <f t="shared" si="37"/>
        <v>2737.59</v>
      </c>
      <c r="J102" s="4">
        <f t="shared" si="25"/>
        <v>6042.3099999999995</v>
      </c>
      <c r="K102" s="4">
        <f t="shared" si="26"/>
        <v>7205.56</v>
      </c>
      <c r="L102" s="4">
        <f t="shared" si="27"/>
        <v>13247.869999999999</v>
      </c>
      <c r="M102" s="4">
        <f t="shared" si="28"/>
        <v>9.749319056956067E-2</v>
      </c>
      <c r="N102" s="4">
        <f t="shared" si="29"/>
        <v>10521.39</v>
      </c>
      <c r="O102" s="4">
        <f t="shared" si="30"/>
        <v>7.7428588922345248E-2</v>
      </c>
      <c r="P102" s="4">
        <f t="shared" si="31"/>
        <v>93744.590000000011</v>
      </c>
      <c r="Q102" s="4">
        <f t="shared" si="38"/>
        <v>0.68988140567014422</v>
      </c>
      <c r="R102" s="4">
        <v>96</v>
      </c>
      <c r="S102" s="4">
        <f t="shared" si="34"/>
        <v>94023.898293750404</v>
      </c>
      <c r="T102" s="4">
        <f t="shared" si="35"/>
        <v>0.69193687999999998</v>
      </c>
      <c r="U102" s="11">
        <f t="shared" si="32"/>
        <v>28892.62000000001</v>
      </c>
      <c r="V102" s="11">
        <f t="shared" si="33"/>
        <v>0.21262540376029515</v>
      </c>
      <c r="X102" s="3">
        <v>42205</v>
      </c>
      <c r="AA102">
        <v>3304.72</v>
      </c>
      <c r="AB102">
        <v>3304.72</v>
      </c>
      <c r="AC102">
        <v>4278.1000000000004</v>
      </c>
      <c r="AD102">
        <v>4278.1000000000004</v>
      </c>
      <c r="AE102">
        <v>7582.82</v>
      </c>
      <c r="AH102">
        <v>48341.24</v>
      </c>
      <c r="AI102">
        <v>48341.24</v>
      </c>
      <c r="AL102">
        <v>22336.080000000002</v>
      </c>
      <c r="AM102">
        <v>22336.080000000002</v>
      </c>
      <c r="AP102">
        <v>7392.53</v>
      </c>
      <c r="AQ102">
        <v>7392.53</v>
      </c>
      <c r="AW102">
        <v>5153.3500000000004</v>
      </c>
      <c r="AX102">
        <v>5153.3500000000004</v>
      </c>
      <c r="AY102">
        <v>83223.200000000012</v>
      </c>
      <c r="BB102">
        <v>2737.59</v>
      </c>
      <c r="BC102">
        <v>2737.59</v>
      </c>
      <c r="BD102">
        <v>2927.46</v>
      </c>
      <c r="BE102">
        <v>2927.46</v>
      </c>
      <c r="BF102">
        <v>5665.05</v>
      </c>
      <c r="BG102">
        <v>3020.51</v>
      </c>
      <c r="BH102">
        <v>3020.51</v>
      </c>
      <c r="BI102">
        <v>4007.12</v>
      </c>
      <c r="BJ102">
        <v>4007.12</v>
      </c>
      <c r="BK102">
        <v>7027.63</v>
      </c>
      <c r="BL102">
        <v>1190.76</v>
      </c>
      <c r="BM102">
        <v>1190.76</v>
      </c>
      <c r="BN102">
        <v>983.79</v>
      </c>
      <c r="BO102">
        <v>983.79</v>
      </c>
      <c r="BP102">
        <v>2174.5500000000002</v>
      </c>
      <c r="BQ102">
        <v>1319.21</v>
      </c>
      <c r="BR102">
        <v>1319.21</v>
      </c>
      <c r="BS102">
        <v>1319.21</v>
      </c>
      <c r="BT102">
        <v>135885.08000000002</v>
      </c>
      <c r="BU102" s="1"/>
      <c r="BV102" s="1"/>
    </row>
    <row r="103" spans="4:74">
      <c r="D103" s="3">
        <v>42212</v>
      </c>
      <c r="E103" s="11">
        <f t="shared" si="22"/>
        <v>132333.41999999998</v>
      </c>
      <c r="F103" s="4">
        <f t="shared" si="23"/>
        <v>81398.66</v>
      </c>
      <c r="G103" s="4">
        <f t="shared" si="24"/>
        <v>0.61510282134324057</v>
      </c>
      <c r="H103" s="4">
        <f t="shared" si="36"/>
        <v>3142.24</v>
      </c>
      <c r="I103" s="4">
        <f t="shared" si="37"/>
        <v>2509.89</v>
      </c>
      <c r="J103" s="4">
        <f t="shared" si="25"/>
        <v>5652.1299999999992</v>
      </c>
      <c r="K103" s="4">
        <f t="shared" si="26"/>
        <v>7081.8</v>
      </c>
      <c r="L103" s="4">
        <f t="shared" si="27"/>
        <v>12733.93</v>
      </c>
      <c r="M103" s="4">
        <f t="shared" si="28"/>
        <v>9.6226108265017277E-2</v>
      </c>
      <c r="N103" s="4">
        <f t="shared" si="29"/>
        <v>9685.4500000000007</v>
      </c>
      <c r="O103" s="4">
        <f t="shared" si="30"/>
        <v>7.3189750555830879E-2</v>
      </c>
      <c r="P103" s="4">
        <f t="shared" si="31"/>
        <v>91084.11</v>
      </c>
      <c r="Q103" s="4">
        <f t="shared" si="38"/>
        <v>0.68829257189907134</v>
      </c>
      <c r="R103" s="4">
        <v>97</v>
      </c>
      <c r="S103" s="4">
        <f t="shared" ref="S103" si="39">T103*E103</f>
        <v>91630.261683037184</v>
      </c>
      <c r="T103" s="4">
        <f t="shared" si="35"/>
        <v>0.69241965999999999</v>
      </c>
      <c r="U103" s="11">
        <f t="shared" si="32"/>
        <v>28515.37999999999</v>
      </c>
      <c r="V103" s="11">
        <f t="shared" si="33"/>
        <v>0.2154813198359114</v>
      </c>
      <c r="X103" s="3">
        <v>42212</v>
      </c>
      <c r="AA103">
        <v>3142.24</v>
      </c>
      <c r="AB103">
        <v>3142.24</v>
      </c>
      <c r="AC103">
        <v>4198.3</v>
      </c>
      <c r="AD103">
        <v>4198.3</v>
      </c>
      <c r="AE103">
        <v>7340.54</v>
      </c>
      <c r="AH103">
        <v>47894.27</v>
      </c>
      <c r="AI103">
        <v>47894.27</v>
      </c>
      <c r="AL103">
        <v>21252.67</v>
      </c>
      <c r="AM103">
        <v>21252.67</v>
      </c>
      <c r="AP103">
        <v>7124.85</v>
      </c>
      <c r="AQ103">
        <v>7124.85</v>
      </c>
      <c r="AW103">
        <v>5126.87</v>
      </c>
      <c r="AX103">
        <v>5126.87</v>
      </c>
      <c r="AY103">
        <v>81398.66</v>
      </c>
      <c r="BB103">
        <v>2509.89</v>
      </c>
      <c r="BC103">
        <v>2509.89</v>
      </c>
      <c r="BD103">
        <v>2883.5</v>
      </c>
      <c r="BE103">
        <v>2883.5</v>
      </c>
      <c r="BF103">
        <v>5393.3899999999994</v>
      </c>
      <c r="BG103">
        <v>2777.96</v>
      </c>
      <c r="BH103">
        <v>2777.96</v>
      </c>
      <c r="BI103">
        <v>3871.87</v>
      </c>
      <c r="BJ103">
        <v>3871.87</v>
      </c>
      <c r="BK103">
        <v>6649.83</v>
      </c>
      <c r="BL103">
        <v>907.94</v>
      </c>
      <c r="BM103">
        <v>907.94</v>
      </c>
      <c r="BN103">
        <v>935.16</v>
      </c>
      <c r="BO103">
        <v>935.16</v>
      </c>
      <c r="BP103">
        <v>1843.1</v>
      </c>
      <c r="BQ103">
        <v>1192.52</v>
      </c>
      <c r="BR103">
        <v>1192.52</v>
      </c>
      <c r="BS103">
        <v>1192.52</v>
      </c>
      <c r="BT103">
        <v>132333.41999999998</v>
      </c>
      <c r="BU103" s="1"/>
      <c r="BV103" s="1"/>
    </row>
    <row r="104" spans="4:74" s="4" customFormat="1">
      <c r="D104" s="3"/>
      <c r="E104" s="11"/>
      <c r="U104" s="11"/>
      <c r="V104" s="11"/>
      <c r="X104" s="3"/>
      <c r="BU104" s="1"/>
      <c r="BV104" s="1"/>
    </row>
    <row r="105" spans="4:74" s="4" customFormat="1">
      <c r="D105" s="3"/>
      <c r="E105" s="11"/>
      <c r="U105" s="11"/>
      <c r="V105" s="11"/>
      <c r="X105" s="3"/>
      <c r="BU105" s="1"/>
      <c r="BV105" s="1"/>
    </row>
    <row r="106" spans="4:74">
      <c r="D106" s="3">
        <v>42219</v>
      </c>
      <c r="E106" s="11">
        <f t="shared" si="22"/>
        <v>131313.03</v>
      </c>
      <c r="F106" s="4">
        <f t="shared" si="23"/>
        <v>83177.179999999993</v>
      </c>
      <c r="G106" s="4">
        <f t="shared" si="24"/>
        <v>0.63342670563614278</v>
      </c>
      <c r="H106" s="4">
        <f t="shared" si="36"/>
        <v>2908.35</v>
      </c>
      <c r="I106" s="4">
        <f t="shared" si="37"/>
        <v>2344.85</v>
      </c>
      <c r="J106" s="4">
        <f t="shared" si="25"/>
        <v>5253.2</v>
      </c>
      <c r="K106" s="4">
        <f t="shared" si="26"/>
        <v>6908.7</v>
      </c>
      <c r="L106" s="4">
        <f t="shared" si="27"/>
        <v>12161.9</v>
      </c>
      <c r="M106" s="4">
        <f t="shared" si="28"/>
        <v>9.2617617611900349E-2</v>
      </c>
      <c r="N106" s="4">
        <f t="shared" si="29"/>
        <v>8890.01</v>
      </c>
      <c r="O106" s="4">
        <f t="shared" si="30"/>
        <v>6.7700897618461778E-2</v>
      </c>
      <c r="P106" s="4">
        <f t="shared" si="31"/>
        <v>92067.189999999988</v>
      </c>
      <c r="Q106" s="4">
        <f t="shared" ref="Q106:Q111" si="40">P106/E106</f>
        <v>0.70112760325460455</v>
      </c>
      <c r="R106" s="4">
        <v>98</v>
      </c>
      <c r="S106" s="4">
        <f t="shared" ref="S106:S111" si="41">T106*E106</f>
        <v>90987.118890793194</v>
      </c>
      <c r="T106" s="4">
        <f t="shared" si="35"/>
        <v>0.69290244000000001</v>
      </c>
      <c r="U106" s="11">
        <f t="shared" si="32"/>
        <v>27083.940000000017</v>
      </c>
      <c r="V106" s="11">
        <f t="shared" si="33"/>
        <v>0.2062547791334951</v>
      </c>
      <c r="X106" s="3">
        <v>42219</v>
      </c>
      <c r="AA106">
        <v>2908.35</v>
      </c>
      <c r="AB106">
        <v>2908.35</v>
      </c>
      <c r="AC106">
        <v>4043.97</v>
      </c>
      <c r="AD106">
        <v>4043.97</v>
      </c>
      <c r="AE106">
        <v>6952.32</v>
      </c>
      <c r="AH106">
        <v>46229.93</v>
      </c>
      <c r="AI106">
        <v>46229.93</v>
      </c>
      <c r="AL106">
        <v>24369.63</v>
      </c>
      <c r="AM106">
        <v>24369.63</v>
      </c>
      <c r="AP106">
        <v>7175.23</v>
      </c>
      <c r="AQ106">
        <v>7175.23</v>
      </c>
      <c r="AW106">
        <v>5402.39</v>
      </c>
      <c r="AX106">
        <v>5402.39</v>
      </c>
      <c r="AY106">
        <v>83177.179999999993</v>
      </c>
      <c r="BB106">
        <v>2344.85</v>
      </c>
      <c r="BC106">
        <v>2344.85</v>
      </c>
      <c r="BD106">
        <v>2864.73</v>
      </c>
      <c r="BE106">
        <v>2864.73</v>
      </c>
      <c r="BF106">
        <v>5209.58</v>
      </c>
      <c r="BG106">
        <v>2444.21</v>
      </c>
      <c r="BH106">
        <v>2444.21</v>
      </c>
      <c r="BI106">
        <v>3831.87</v>
      </c>
      <c r="BJ106">
        <v>3831.87</v>
      </c>
      <c r="BK106">
        <v>6276.08</v>
      </c>
      <c r="BL106">
        <v>657.81</v>
      </c>
      <c r="BM106">
        <v>657.81</v>
      </c>
      <c r="BN106">
        <v>824.49</v>
      </c>
      <c r="BO106">
        <v>824.49</v>
      </c>
      <c r="BP106">
        <v>1482.3</v>
      </c>
      <c r="BQ106">
        <v>1131.6300000000001</v>
      </c>
      <c r="BR106">
        <v>1131.6300000000001</v>
      </c>
      <c r="BS106">
        <v>1131.6300000000001</v>
      </c>
      <c r="BT106">
        <v>131313.03</v>
      </c>
      <c r="BU106" s="1"/>
      <c r="BV106" s="1"/>
    </row>
    <row r="107" spans="4:74">
      <c r="D107" s="3">
        <v>42226</v>
      </c>
      <c r="E107" s="11">
        <f t="shared" si="22"/>
        <v>141282.48999999996</v>
      </c>
      <c r="F107" s="4">
        <f t="shared" si="23"/>
        <v>90419.520000000004</v>
      </c>
      <c r="G107" s="4">
        <f t="shared" si="24"/>
        <v>0.63999098543634125</v>
      </c>
      <c r="H107" s="4">
        <f t="shared" si="36"/>
        <v>3168.81</v>
      </c>
      <c r="I107" s="4">
        <f t="shared" si="37"/>
        <v>2520.13</v>
      </c>
      <c r="J107" s="4">
        <f t="shared" si="25"/>
        <v>5688.9400000000005</v>
      </c>
      <c r="K107" s="4">
        <f t="shared" si="26"/>
        <v>7136.05</v>
      </c>
      <c r="L107" s="4">
        <f t="shared" si="27"/>
        <v>12824.990000000002</v>
      </c>
      <c r="M107" s="4">
        <f t="shared" si="28"/>
        <v>9.0775509406721286E-2</v>
      </c>
      <c r="N107" s="4">
        <f t="shared" si="29"/>
        <v>9280.7100000000009</v>
      </c>
      <c r="O107" s="4">
        <f t="shared" si="30"/>
        <v>6.5689031952933477E-2</v>
      </c>
      <c r="P107" s="4">
        <f t="shared" si="31"/>
        <v>99700.23000000001</v>
      </c>
      <c r="Q107" s="4">
        <f t="shared" si="40"/>
        <v>0.70568001738927477</v>
      </c>
      <c r="R107" s="4">
        <v>99</v>
      </c>
      <c r="S107" s="4">
        <f t="shared" si="41"/>
        <v>97963.190410797775</v>
      </c>
      <c r="T107" s="4">
        <f t="shared" si="35"/>
        <v>0.69338522000000002</v>
      </c>
      <c r="U107" s="11">
        <f t="shared" si="32"/>
        <v>28757.269999999946</v>
      </c>
      <c r="V107" s="11">
        <f t="shared" si="33"/>
        <v>0.20354447320400393</v>
      </c>
      <c r="X107" s="3">
        <v>42226</v>
      </c>
      <c r="AA107">
        <v>3168.81</v>
      </c>
      <c r="AB107">
        <v>3168.81</v>
      </c>
      <c r="AC107">
        <v>4206.21</v>
      </c>
      <c r="AD107">
        <v>4206.21</v>
      </c>
      <c r="AE107">
        <v>7375.02</v>
      </c>
      <c r="AH107">
        <v>50754.29</v>
      </c>
      <c r="AI107">
        <v>50754.29</v>
      </c>
      <c r="AL107">
        <v>26622.98</v>
      </c>
      <c r="AM107">
        <v>26622.98</v>
      </c>
      <c r="AP107">
        <v>7525.06</v>
      </c>
      <c r="AQ107">
        <v>7525.06</v>
      </c>
      <c r="AW107">
        <v>5517.19</v>
      </c>
      <c r="AX107">
        <v>5517.19</v>
      </c>
      <c r="AY107">
        <v>90419.520000000004</v>
      </c>
      <c r="BB107">
        <v>2520.13</v>
      </c>
      <c r="BC107">
        <v>2520.13</v>
      </c>
      <c r="BD107">
        <v>2929.84</v>
      </c>
      <c r="BE107">
        <v>2929.84</v>
      </c>
      <c r="BF107">
        <v>5449.97</v>
      </c>
      <c r="BG107">
        <v>2782.77</v>
      </c>
      <c r="BH107">
        <v>2782.77</v>
      </c>
      <c r="BI107">
        <v>3882.34</v>
      </c>
      <c r="BJ107">
        <v>3882.34</v>
      </c>
      <c r="BK107">
        <v>6665.1100000000006</v>
      </c>
      <c r="BL107">
        <v>594.86</v>
      </c>
      <c r="BM107">
        <v>594.86</v>
      </c>
      <c r="BN107">
        <v>901.75</v>
      </c>
      <c r="BO107">
        <v>901.75</v>
      </c>
      <c r="BP107">
        <v>1496.6100000000001</v>
      </c>
      <c r="BQ107">
        <v>1118.99</v>
      </c>
      <c r="BR107">
        <v>1118.99</v>
      </c>
      <c r="BS107">
        <v>1118.99</v>
      </c>
      <c r="BT107">
        <v>141282.48999999996</v>
      </c>
      <c r="BU107" s="1"/>
      <c r="BV107" s="1"/>
    </row>
    <row r="108" spans="4:74">
      <c r="D108" s="3">
        <v>42233</v>
      </c>
      <c r="E108" s="11">
        <f t="shared" si="22"/>
        <v>139210.28</v>
      </c>
      <c r="F108" s="4">
        <f t="shared" si="23"/>
        <v>89296.52</v>
      </c>
      <c r="G108" s="4">
        <f t="shared" si="24"/>
        <v>0.64145061700903128</v>
      </c>
      <c r="H108" s="4">
        <f t="shared" si="36"/>
        <v>3079.24</v>
      </c>
      <c r="I108" s="4">
        <f t="shared" si="37"/>
        <v>2412.04</v>
      </c>
      <c r="J108" s="4">
        <f t="shared" si="25"/>
        <v>5491.28</v>
      </c>
      <c r="K108" s="4">
        <f t="shared" si="26"/>
        <v>7129.24</v>
      </c>
      <c r="L108" s="4">
        <f t="shared" si="27"/>
        <v>12620.52</v>
      </c>
      <c r="M108" s="4">
        <f t="shared" si="28"/>
        <v>9.0657960029963305E-2</v>
      </c>
      <c r="N108" s="4">
        <f t="shared" si="29"/>
        <v>8392.7199999999993</v>
      </c>
      <c r="O108" s="4">
        <f t="shared" si="30"/>
        <v>6.0288076426539758E-2</v>
      </c>
      <c r="P108" s="4">
        <f t="shared" si="31"/>
        <v>97689.24</v>
      </c>
      <c r="Q108" s="4">
        <f t="shared" si="40"/>
        <v>0.70173869343557105</v>
      </c>
      <c r="R108" s="4">
        <v>100</v>
      </c>
      <c r="S108" s="4">
        <f t="shared" si="41"/>
        <v>96593.558563040002</v>
      </c>
      <c r="T108" s="4">
        <f t="shared" si="35"/>
        <v>0.69386800000000004</v>
      </c>
      <c r="U108" s="11">
        <f t="shared" si="32"/>
        <v>28900.51999999999</v>
      </c>
      <c r="V108" s="11">
        <f t="shared" si="33"/>
        <v>0.20760334653446563</v>
      </c>
      <c r="X108" s="3">
        <v>42233</v>
      </c>
      <c r="AA108">
        <v>3079.24</v>
      </c>
      <c r="AB108">
        <v>3079.24</v>
      </c>
      <c r="AC108">
        <v>4189</v>
      </c>
      <c r="AD108">
        <v>4189</v>
      </c>
      <c r="AE108">
        <v>7268.24</v>
      </c>
      <c r="AH108">
        <v>52371.03</v>
      </c>
      <c r="AI108">
        <v>52371.03</v>
      </c>
      <c r="AL108">
        <v>23808.94</v>
      </c>
      <c r="AM108">
        <v>23808.94</v>
      </c>
      <c r="AP108">
        <v>7701.16</v>
      </c>
      <c r="AQ108">
        <v>7701.16</v>
      </c>
      <c r="AW108">
        <v>5415.39</v>
      </c>
      <c r="AX108">
        <v>5415.39</v>
      </c>
      <c r="AY108">
        <v>89296.52</v>
      </c>
      <c r="BB108">
        <v>2412.04</v>
      </c>
      <c r="BC108">
        <v>2412.04</v>
      </c>
      <c r="BD108">
        <v>2940.24</v>
      </c>
      <c r="BE108">
        <v>2940.24</v>
      </c>
      <c r="BF108">
        <v>5352.28</v>
      </c>
      <c r="BG108">
        <v>2732.44</v>
      </c>
      <c r="BH108">
        <v>2732.44</v>
      </c>
      <c r="BI108">
        <v>3867.72</v>
      </c>
      <c r="BJ108">
        <v>3867.72</v>
      </c>
      <c r="BK108">
        <v>6600.16</v>
      </c>
      <c r="BL108">
        <v>133.27000000000001</v>
      </c>
      <c r="BM108">
        <v>133.27000000000001</v>
      </c>
      <c r="BN108">
        <v>657.72</v>
      </c>
      <c r="BO108">
        <v>657.72</v>
      </c>
      <c r="BP108">
        <v>790.99</v>
      </c>
      <c r="BQ108">
        <v>1001.57</v>
      </c>
      <c r="BR108">
        <v>1001.57</v>
      </c>
      <c r="BS108">
        <v>1001.57</v>
      </c>
      <c r="BT108">
        <v>139210.28</v>
      </c>
      <c r="BU108" s="1"/>
      <c r="BV108" s="1"/>
    </row>
    <row r="109" spans="4:74">
      <c r="D109" s="3">
        <v>42240</v>
      </c>
      <c r="E109" s="11">
        <f t="shared" si="22"/>
        <v>133814.51999999999</v>
      </c>
      <c r="F109" s="4">
        <f t="shared" si="23"/>
        <v>85085.22</v>
      </c>
      <c r="G109" s="4">
        <f t="shared" si="24"/>
        <v>0.63584445096092712</v>
      </c>
      <c r="H109" s="4">
        <f t="shared" si="36"/>
        <v>3069.65</v>
      </c>
      <c r="I109" s="4">
        <f t="shared" si="37"/>
        <v>2447.0100000000002</v>
      </c>
      <c r="J109" s="4">
        <f t="shared" si="25"/>
        <v>5516.66</v>
      </c>
      <c r="K109" s="4">
        <f t="shared" si="26"/>
        <v>6874.98</v>
      </c>
      <c r="L109" s="4">
        <f t="shared" si="27"/>
        <v>12391.64</v>
      </c>
      <c r="M109" s="4">
        <f t="shared" si="28"/>
        <v>9.2603104655608379E-2</v>
      </c>
      <c r="N109" s="4">
        <f t="shared" si="29"/>
        <v>8276.5</v>
      </c>
      <c r="O109" s="4">
        <f t="shared" si="30"/>
        <v>6.1850537594873863E-2</v>
      </c>
      <c r="P109" s="4">
        <f t="shared" si="31"/>
        <v>93361.72</v>
      </c>
      <c r="Q109" s="4">
        <f t="shared" si="40"/>
        <v>0.69769498855580103</v>
      </c>
      <c r="R109" s="4">
        <v>101</v>
      </c>
      <c r="S109" s="4">
        <f t="shared" si="41"/>
        <v>92914.21633732559</v>
      </c>
      <c r="T109" s="4">
        <f t="shared" si="35"/>
        <v>0.69435077999999995</v>
      </c>
      <c r="U109" s="11">
        <f t="shared" si="32"/>
        <v>28061.159999999989</v>
      </c>
      <c r="V109" s="11">
        <f t="shared" si="33"/>
        <v>0.20970190678859058</v>
      </c>
      <c r="X109" s="3">
        <v>42240</v>
      </c>
      <c r="AA109">
        <v>3069.65</v>
      </c>
      <c r="AB109">
        <v>3069.65</v>
      </c>
      <c r="AC109">
        <v>4076.92</v>
      </c>
      <c r="AD109">
        <v>4076.92</v>
      </c>
      <c r="AE109">
        <v>7146.57</v>
      </c>
      <c r="AH109">
        <v>51083.43</v>
      </c>
      <c r="AI109">
        <v>51083.43</v>
      </c>
      <c r="AL109">
        <v>21234.400000000001</v>
      </c>
      <c r="AM109">
        <v>21234.400000000001</v>
      </c>
      <c r="AP109">
        <v>7439.24</v>
      </c>
      <c r="AQ109">
        <v>7439.24</v>
      </c>
      <c r="AW109">
        <v>5328.15</v>
      </c>
      <c r="AX109">
        <v>5328.15</v>
      </c>
      <c r="AY109">
        <v>85085.22</v>
      </c>
      <c r="BB109">
        <v>2447.0100000000002</v>
      </c>
      <c r="BC109">
        <v>2447.0100000000002</v>
      </c>
      <c r="BD109">
        <v>2798.06</v>
      </c>
      <c r="BE109">
        <v>2798.06</v>
      </c>
      <c r="BF109">
        <v>5245.07</v>
      </c>
      <c r="BG109">
        <v>3117.56</v>
      </c>
      <c r="BH109">
        <v>3117.56</v>
      </c>
      <c r="BI109">
        <v>3804.95</v>
      </c>
      <c r="BJ109">
        <v>3804.95</v>
      </c>
      <c r="BK109">
        <v>6922.51</v>
      </c>
      <c r="BL109">
        <v>-4.01</v>
      </c>
      <c r="BM109">
        <v>-4.01</v>
      </c>
      <c r="BN109">
        <v>437.79</v>
      </c>
      <c r="BO109">
        <v>437.79</v>
      </c>
      <c r="BP109">
        <v>433.78000000000003</v>
      </c>
      <c r="BQ109">
        <v>920.21</v>
      </c>
      <c r="BR109">
        <v>920.21</v>
      </c>
      <c r="BS109">
        <v>920.21</v>
      </c>
      <c r="BT109">
        <v>133814.51999999999</v>
      </c>
    </row>
    <row r="110" spans="4:74">
      <c r="D110" s="3">
        <v>42247</v>
      </c>
      <c r="E110" s="11">
        <f t="shared" si="22"/>
        <v>109159.17000000006</v>
      </c>
      <c r="F110" s="4">
        <f t="shared" si="23"/>
        <v>69348.51999999999</v>
      </c>
      <c r="G110" s="4">
        <f t="shared" si="24"/>
        <v>0.63529724529785225</v>
      </c>
      <c r="H110" s="4">
        <f t="shared" si="36"/>
        <v>2464.69</v>
      </c>
      <c r="I110" s="4">
        <f t="shared" si="37"/>
        <v>1963.72</v>
      </c>
      <c r="J110" s="4">
        <f t="shared" si="25"/>
        <v>4428.41</v>
      </c>
      <c r="K110" s="4">
        <f t="shared" si="26"/>
        <v>5524.47</v>
      </c>
      <c r="L110" s="4">
        <f t="shared" si="27"/>
        <v>9952.880000000001</v>
      </c>
      <c r="M110" s="4">
        <f t="shared" si="28"/>
        <v>9.1177681178777711E-2</v>
      </c>
      <c r="N110" s="4">
        <f t="shared" si="29"/>
        <v>7744.39</v>
      </c>
      <c r="O110" s="4">
        <f t="shared" si="30"/>
        <v>7.0945849075254017E-2</v>
      </c>
      <c r="P110" s="4">
        <f t="shared" si="31"/>
        <v>77092.909999999989</v>
      </c>
      <c r="Q110" s="4">
        <f t="shared" si="40"/>
        <v>0.70624309437310628</v>
      </c>
      <c r="R110" s="4">
        <v>102</v>
      </c>
      <c r="S110" s="4">
        <f t="shared" si="41"/>
        <v>75847.454697745241</v>
      </c>
      <c r="T110" s="4">
        <f t="shared" si="35"/>
        <v>0.69483355999999996</v>
      </c>
      <c r="U110" s="11">
        <f t="shared" si="32"/>
        <v>22113.380000000063</v>
      </c>
      <c r="V110" s="11">
        <f t="shared" si="33"/>
        <v>0.20257922444811602</v>
      </c>
      <c r="X110" s="3">
        <v>42247</v>
      </c>
      <c r="AA110">
        <v>2464.69</v>
      </c>
      <c r="AB110">
        <v>2464.69</v>
      </c>
      <c r="AC110">
        <v>3267.55</v>
      </c>
      <c r="AD110">
        <v>3267.55</v>
      </c>
      <c r="AE110">
        <v>5732.24</v>
      </c>
      <c r="AH110">
        <v>42055.6</v>
      </c>
      <c r="AI110">
        <v>42055.6</v>
      </c>
      <c r="AL110">
        <v>16837.689999999999</v>
      </c>
      <c r="AM110">
        <v>16837.689999999999</v>
      </c>
      <c r="AP110">
        <v>5987.63</v>
      </c>
      <c r="AQ110">
        <v>5987.63</v>
      </c>
      <c r="AW110">
        <v>4467.6000000000004</v>
      </c>
      <c r="AX110">
        <v>4467.6000000000004</v>
      </c>
      <c r="AY110">
        <v>69348.51999999999</v>
      </c>
      <c r="BB110">
        <v>1963.72</v>
      </c>
      <c r="BC110">
        <v>1963.72</v>
      </c>
      <c r="BD110">
        <v>2256.92</v>
      </c>
      <c r="BE110">
        <v>2256.92</v>
      </c>
      <c r="BF110">
        <v>4220.6400000000003</v>
      </c>
      <c r="BG110">
        <v>3930.58</v>
      </c>
      <c r="BH110">
        <v>3930.58</v>
      </c>
      <c r="BI110">
        <v>2965.3</v>
      </c>
      <c r="BJ110">
        <v>2965.3</v>
      </c>
      <c r="BK110">
        <v>6895.88</v>
      </c>
      <c r="BL110">
        <v>-349.15</v>
      </c>
      <c r="BM110">
        <v>-349.15</v>
      </c>
      <c r="BN110">
        <v>412.16</v>
      </c>
      <c r="BO110">
        <v>412.16</v>
      </c>
      <c r="BP110">
        <v>63.010000000000048</v>
      </c>
      <c r="BQ110">
        <v>785.5</v>
      </c>
      <c r="BR110">
        <v>785.5</v>
      </c>
      <c r="BS110">
        <v>785.5</v>
      </c>
      <c r="BT110">
        <v>109159.17000000006</v>
      </c>
    </row>
    <row r="111" spans="4:74" s="5" customFormat="1">
      <c r="D111" s="26" t="s">
        <v>16</v>
      </c>
      <c r="E111" s="11">
        <f t="shared" ref="E111" si="42">BT111</f>
        <v>12347524.009999998</v>
      </c>
      <c r="F111" s="4">
        <f t="shared" ref="F111" si="43">AY111</f>
        <v>7974940.8599999994</v>
      </c>
      <c r="G111" s="4">
        <f t="shared" ref="G111" si="44">F111/E111</f>
        <v>0.64587368718953397</v>
      </c>
      <c r="H111" s="4">
        <f t="shared" ref="H111" si="45">AB111-Z111-Y111-BU111</f>
        <v>96991.929999999847</v>
      </c>
      <c r="I111" s="4">
        <f t="shared" ref="I111" si="46">BC111-BA111-AZ111-BV111</f>
        <v>76179.719999999987</v>
      </c>
      <c r="J111" s="4">
        <f t="shared" ref="J111" si="47">SUM(H111:I111)</f>
        <v>173171.64999999985</v>
      </c>
      <c r="K111" s="4">
        <f t="shared" ref="K111" si="48">SUM(AD111,BE111)</f>
        <v>222171.80000000002</v>
      </c>
      <c r="L111" s="4">
        <f t="shared" ref="L111" si="49">SUM(J111:K111)</f>
        <v>395343.44999999984</v>
      </c>
      <c r="M111" s="4">
        <f t="shared" ref="M111" si="50">L111/E111</f>
        <v>3.2018034520914437E-2</v>
      </c>
      <c r="N111" s="4">
        <f t="shared" ref="N111" si="51">SUM(BK111,BP111,BS111)</f>
        <v>378466.21</v>
      </c>
      <c r="O111" s="4">
        <f t="shared" ref="O111" si="52">N111/E111</f>
        <v>3.0651182349877452E-2</v>
      </c>
      <c r="P111" s="4">
        <f t="shared" ref="P111" si="53">SUM(F111,N111)</f>
        <v>8353407.0699999994</v>
      </c>
      <c r="Q111" s="4">
        <f t="shared" si="40"/>
        <v>0.67652486953941149</v>
      </c>
      <c r="R111" s="4">
        <v>103</v>
      </c>
      <c r="S111" s="4">
        <f t="shared" si="41"/>
        <v>8585435.2026953213</v>
      </c>
      <c r="T111" s="4">
        <f t="shared" ref="T111" si="54">$B$9+$B$10*R111</f>
        <v>0.69531633999999998</v>
      </c>
      <c r="U111" s="11">
        <f t="shared" ref="U111" si="55">E111-SUM(F111,L111,N111)</f>
        <v>3598773.4899999984</v>
      </c>
      <c r="V111" s="11">
        <f t="shared" ref="V111" si="56">U111/E111</f>
        <v>0.29145709593967406</v>
      </c>
      <c r="X111" s="26" t="s">
        <v>16</v>
      </c>
      <c r="Y111" s="5">
        <v>94955.05</v>
      </c>
      <c r="Z111" s="5">
        <v>308993.20000000007</v>
      </c>
      <c r="AA111" s="5">
        <v>117413.6</v>
      </c>
      <c r="AB111" s="5">
        <v>521361.84999999992</v>
      </c>
      <c r="AC111" s="5">
        <v>127447.81000000001</v>
      </c>
      <c r="AD111" s="5">
        <v>127447.81000000001</v>
      </c>
      <c r="AE111" s="5">
        <v>648809.65999999992</v>
      </c>
      <c r="AF111" s="5">
        <v>720539.04999999993</v>
      </c>
      <c r="AG111" s="5">
        <v>2546828.060000001</v>
      </c>
      <c r="AH111" s="5">
        <v>1722851.53</v>
      </c>
      <c r="AI111" s="5">
        <v>4990218.6399999997</v>
      </c>
      <c r="AJ111" s="5">
        <v>278936.80999999994</v>
      </c>
      <c r="AK111" s="5">
        <v>915537.40000000014</v>
      </c>
      <c r="AL111" s="5">
        <v>708057.57999999973</v>
      </c>
      <c r="AM111" s="5">
        <v>1902531.7899999993</v>
      </c>
      <c r="AN111" s="5">
        <v>103674.60000000003</v>
      </c>
      <c r="AO111" s="5">
        <v>330783.89999999997</v>
      </c>
      <c r="AP111" s="5">
        <v>245530.30000000002</v>
      </c>
      <c r="AQ111" s="5">
        <v>679988.79999999993</v>
      </c>
      <c r="AR111" s="5">
        <v>2160.86</v>
      </c>
      <c r="AS111" s="5">
        <v>1411.53</v>
      </c>
      <c r="AT111" s="5">
        <v>3572.3900000000008</v>
      </c>
      <c r="AU111" s="5">
        <v>46777.97</v>
      </c>
      <c r="AV111" s="5">
        <v>179145.33</v>
      </c>
      <c r="AW111" s="5">
        <v>172705.94000000006</v>
      </c>
      <c r="AX111" s="5">
        <v>398629.24000000005</v>
      </c>
      <c r="AY111" s="5">
        <v>7974940.8599999994</v>
      </c>
      <c r="AZ111" s="5">
        <v>80200.77</v>
      </c>
      <c r="BA111" s="5">
        <v>257460.11000000004</v>
      </c>
      <c r="BB111" s="5">
        <v>93404.349999999977</v>
      </c>
      <c r="BC111" s="5">
        <v>431065.23000000004</v>
      </c>
      <c r="BD111" s="5">
        <v>94723.99</v>
      </c>
      <c r="BE111" s="5">
        <v>94723.99</v>
      </c>
      <c r="BF111" s="5">
        <v>525789.22000000009</v>
      </c>
      <c r="BG111" s="5">
        <v>98466.660000000018</v>
      </c>
      <c r="BH111" s="5">
        <v>98466.660000000018</v>
      </c>
      <c r="BI111" s="5">
        <v>139264.06999999995</v>
      </c>
      <c r="BJ111" s="5">
        <v>139264.06999999995</v>
      </c>
      <c r="BK111" s="5">
        <v>237730.73</v>
      </c>
      <c r="BL111" s="5">
        <v>39002.189999999995</v>
      </c>
      <c r="BM111" s="5">
        <v>39002.189999999995</v>
      </c>
      <c r="BN111" s="5">
        <v>47117.47</v>
      </c>
      <c r="BO111" s="5">
        <v>47117.47</v>
      </c>
      <c r="BP111" s="5">
        <v>86119.66</v>
      </c>
      <c r="BQ111" s="5">
        <v>54615.82</v>
      </c>
      <c r="BR111" s="5">
        <v>54615.82</v>
      </c>
      <c r="BS111" s="5">
        <v>54615.82</v>
      </c>
      <c r="BT111" s="5">
        <v>12347524.009999998</v>
      </c>
      <c r="BU111" s="5">
        <v>20421.669999999998</v>
      </c>
      <c r="BV111" s="5">
        <v>17224.63</v>
      </c>
    </row>
    <row r="112" spans="4:74">
      <c r="E112" s="11"/>
    </row>
    <row r="113" spans="4:24" s="4" customFormat="1" ht="42">
      <c r="D113" s="15" t="s">
        <v>17</v>
      </c>
      <c r="E113" s="4" t="s">
        <v>16</v>
      </c>
      <c r="F113" s="14" t="s">
        <v>53</v>
      </c>
      <c r="G113" s="23" t="s">
        <v>63</v>
      </c>
      <c r="H113" s="13" t="s">
        <v>56</v>
      </c>
      <c r="I113" s="13" t="s">
        <v>57</v>
      </c>
      <c r="J113" s="13" t="s">
        <v>55</v>
      </c>
      <c r="K113" s="13" t="s">
        <v>24</v>
      </c>
      <c r="L113" s="14" t="s">
        <v>66</v>
      </c>
      <c r="M113" s="23" t="s">
        <v>67</v>
      </c>
      <c r="N113" s="14" t="s">
        <v>68</v>
      </c>
      <c r="O113" s="23" t="s">
        <v>69</v>
      </c>
      <c r="P113" s="13" t="s">
        <v>35</v>
      </c>
      <c r="Q113" s="13" t="s">
        <v>65</v>
      </c>
      <c r="R113" s="13" t="s">
        <v>54</v>
      </c>
      <c r="S113" s="14" t="s">
        <v>36</v>
      </c>
      <c r="T113" s="23" t="s">
        <v>64</v>
      </c>
      <c r="U113" s="24" t="s">
        <v>77</v>
      </c>
      <c r="V113" s="13" t="s">
        <v>81</v>
      </c>
      <c r="X113" s="3"/>
    </row>
    <row r="114" spans="4:24" s="4" customFormat="1">
      <c r="D114" s="27" t="s">
        <v>84</v>
      </c>
      <c r="E114" s="11">
        <f>SUM(E7:E77)</f>
        <v>7986536.3799999971</v>
      </c>
      <c r="F114" s="11">
        <f>SUM(F7:F77)</f>
        <v>5300297.1000000006</v>
      </c>
      <c r="G114" s="27">
        <f>F114/E114</f>
        <v>0.66365403571854797</v>
      </c>
      <c r="L114" s="11">
        <f>SUM(L7:L77)</f>
        <v>-0.3</v>
      </c>
      <c r="M114" s="27">
        <f>L114/E114</f>
        <v>-3.7563217110143569E-8</v>
      </c>
      <c r="N114" s="11">
        <f>SUM(N7:N77)</f>
        <v>0</v>
      </c>
      <c r="O114" s="27">
        <f>N114/E114</f>
        <v>0</v>
      </c>
      <c r="U114" s="11">
        <f>SUM(U7:U77)</f>
        <v>2686239.5799999996</v>
      </c>
      <c r="V114" s="28">
        <f>U114/E114</f>
        <v>0.33634600184466956</v>
      </c>
      <c r="X114" s="3"/>
    </row>
    <row r="115" spans="4:24" s="4" customFormat="1">
      <c r="D115" s="27" t="s">
        <v>85</v>
      </c>
      <c r="E115" s="4">
        <f>SUM(E78:E103)</f>
        <v>3459599.4599999995</v>
      </c>
      <c r="F115" s="4">
        <f>SUM(F78:F103)</f>
        <v>2099638.8000000003</v>
      </c>
      <c r="G115" s="27">
        <f>F115/E115</f>
        <v>0.60690227995352986</v>
      </c>
      <c r="L115" s="4">
        <f>SUM(L78:L103)</f>
        <v>335391.82</v>
      </c>
      <c r="M115" s="27">
        <f>L115/E115</f>
        <v>9.6945274699516817E-2</v>
      </c>
      <c r="N115" s="4">
        <f>SUM(N78:N103)</f>
        <v>335881.88000000012</v>
      </c>
      <c r="O115" s="27">
        <f>N115/E115</f>
        <v>9.7086926935755782E-2</v>
      </c>
      <c r="U115" s="4">
        <f>SUM(U78:U103)</f>
        <v>688686.96</v>
      </c>
      <c r="V115" s="28">
        <f>U115/E115</f>
        <v>0.19906551841119782</v>
      </c>
      <c r="X115" s="3"/>
    </row>
    <row r="116" spans="4:24">
      <c r="E116" s="11"/>
    </row>
    <row r="117" spans="4:24">
      <c r="E117" s="11"/>
    </row>
  </sheetData>
  <phoneticPr fontId="10" type="noConversion"/>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Charts</vt:lpstr>
      </vt:variant>
      <vt:variant>
        <vt:i4>8</vt:i4>
      </vt:variant>
    </vt:vector>
  </HeadingPairs>
  <TitlesOfParts>
    <vt:vector size="14" baseType="lpstr">
      <vt:lpstr>Variable and Trend Explanations</vt:lpstr>
      <vt:lpstr>Percents of Total for Labels</vt:lpstr>
      <vt:lpstr>Off Premise Data</vt:lpstr>
      <vt:lpstr>Convenience Data</vt:lpstr>
      <vt:lpstr>Grocery &amp; Drug Data</vt:lpstr>
      <vt:lpstr>Mass Merch Data</vt:lpstr>
      <vt:lpstr>Off Premise Volume</vt:lpstr>
      <vt:lpstr>Off Premise Percent of Total</vt:lpstr>
      <vt:lpstr>Convenience Volume</vt:lpstr>
      <vt:lpstr>Convenience Percent of Total</vt:lpstr>
      <vt:lpstr>Grocery &amp; Drug Volume</vt:lpstr>
      <vt:lpstr>Grocery &amp; Drug Percent of Total</vt:lpstr>
      <vt:lpstr>Mass Merch Volume</vt:lpstr>
      <vt:lpstr>Mass Merch Percent of Total</vt:lpstr>
    </vt:vector>
  </TitlesOfParts>
  <Company>Management Science Associates,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Over, Lisa</dc:creator>
  <cp:lastModifiedBy>Lisa Over</cp:lastModifiedBy>
  <cp:lastPrinted>2015-11-06T14:04:08Z</cp:lastPrinted>
  <dcterms:created xsi:type="dcterms:W3CDTF">2015-09-29T10:41:23Z</dcterms:created>
  <dcterms:modified xsi:type="dcterms:W3CDTF">2015-11-06T14:04:17Z</dcterms:modified>
</cp:coreProperties>
</file>